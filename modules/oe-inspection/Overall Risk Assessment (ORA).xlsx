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muhammad.shammas\Desktop\"/>
    </mc:Choice>
  </mc:AlternateContent>
  <xr:revisionPtr revIDLastSave="0" documentId="13_ncr:1_{83668C6A-2E04-45B4-967D-9AB0D8D34A3F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ORA Worksheet" sheetId="16" r:id="rId1"/>
    <sheet name="ORA_Example" sheetId="20" r:id="rId2"/>
    <sheet name="ORA Matrix" sheetId="19" r:id="rId3"/>
    <sheet name="ORA Risk Map Template" sheetId="21" r:id="rId4"/>
    <sheet name="I&amp;I Cats-r" sheetId="17" r:id="rId5"/>
    <sheet name="Hazard Cats.-r" sheetId="8" r:id="rId6"/>
    <sheet name="Drop Down Lists" sheetId="2" r:id="rId7"/>
  </sheets>
  <definedNames>
    <definedName name="_xlnm._FilterDatabase" localSheetId="0" hidden="1">'ORA Worksheet'!$J$12:$J$21</definedName>
    <definedName name="_xlnm._FilterDatabase" localSheetId="1" hidden="1">ORA_Example!$J$11:$J$15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3" i="16" l="1"/>
  <c r="AF13" i="16" s="1"/>
  <c r="AG13" i="16" s="1"/>
  <c r="AE13" i="16"/>
  <c r="AD14" i="16"/>
  <c r="AE14" i="16"/>
  <c r="AD15" i="16"/>
  <c r="AF15" i="16" s="1"/>
  <c r="AG15" i="16" s="1"/>
  <c r="AE15" i="16"/>
  <c r="AD16" i="16"/>
  <c r="AE16" i="16"/>
  <c r="AD17" i="16"/>
  <c r="AF17" i="16" s="1"/>
  <c r="AG17" i="16" s="1"/>
  <c r="AE17" i="16"/>
  <c r="AD18" i="16"/>
  <c r="AE18" i="16"/>
  <c r="AD19" i="16"/>
  <c r="AF19" i="16" s="1"/>
  <c r="AG19" i="16" s="1"/>
  <c r="AE19" i="16"/>
  <c r="AD20" i="16"/>
  <c r="AE20" i="16"/>
  <c r="AD21" i="16"/>
  <c r="AF21" i="16" s="1"/>
  <c r="AG21" i="16" s="1"/>
  <c r="AE21" i="16"/>
  <c r="S13" i="16"/>
  <c r="T13" i="16"/>
  <c r="S14" i="16"/>
  <c r="U14" i="16" s="1"/>
  <c r="V14" i="16" s="1"/>
  <c r="T14" i="16"/>
  <c r="S15" i="16"/>
  <c r="T15" i="16"/>
  <c r="S16" i="16"/>
  <c r="U16" i="16" s="1"/>
  <c r="V16" i="16" s="1"/>
  <c r="T16" i="16"/>
  <c r="S17" i="16"/>
  <c r="T17" i="16"/>
  <c r="S18" i="16"/>
  <c r="U18" i="16" s="1"/>
  <c r="V18" i="16" s="1"/>
  <c r="T18" i="16"/>
  <c r="S19" i="16"/>
  <c r="T19" i="16"/>
  <c r="S20" i="16"/>
  <c r="U20" i="16" s="1"/>
  <c r="V20" i="16" s="1"/>
  <c r="T20" i="16"/>
  <c r="S21" i="16"/>
  <c r="T21" i="16"/>
  <c r="U19" i="16" l="1"/>
  <c r="V19" i="16" s="1"/>
  <c r="U15" i="16"/>
  <c r="V15" i="16" s="1"/>
  <c r="U13" i="16"/>
  <c r="V13" i="16" s="1"/>
  <c r="AF20" i="16"/>
  <c r="AG20" i="16" s="1"/>
  <c r="AF18" i="16"/>
  <c r="AG18" i="16" s="1"/>
  <c r="AF16" i="16"/>
  <c r="AG16" i="16" s="1"/>
  <c r="AF14" i="16"/>
  <c r="AG14" i="16" s="1"/>
  <c r="U21" i="16"/>
  <c r="V21" i="16" s="1"/>
  <c r="U17" i="16"/>
  <c r="V17" i="16" s="1"/>
  <c r="AE12" i="16"/>
  <c r="AD12" i="16"/>
  <c r="T12" i="16"/>
  <c r="S12" i="16"/>
  <c r="AE15" i="20"/>
  <c r="AD15" i="20"/>
  <c r="T15" i="20"/>
  <c r="S15" i="20"/>
  <c r="AE14" i="20"/>
  <c r="AD14" i="20"/>
  <c r="T14" i="20"/>
  <c r="S14" i="20"/>
  <c r="AE13" i="20"/>
  <c r="AD13" i="20"/>
  <c r="T13" i="20"/>
  <c r="S13" i="20"/>
  <c r="AE12" i="20"/>
  <c r="AD12" i="20"/>
  <c r="AF12" i="20" s="1"/>
  <c r="AG12" i="20" s="1"/>
  <c r="T12" i="20"/>
  <c r="S12" i="20"/>
  <c r="AE11" i="20"/>
  <c r="AD11" i="20"/>
  <c r="AF11" i="20" s="1"/>
  <c r="AG11" i="20" s="1"/>
  <c r="T11" i="20"/>
  <c r="S11" i="20"/>
  <c r="AF13" i="20" l="1"/>
  <c r="AG13" i="20" s="1"/>
  <c r="AF14" i="20"/>
  <c r="AG14" i="20" s="1"/>
  <c r="AF15" i="20"/>
  <c r="AG15" i="20" s="1"/>
  <c r="U11" i="20"/>
  <c r="V11" i="20" s="1"/>
  <c r="U12" i="20"/>
  <c r="V12" i="20" s="1"/>
  <c r="U14" i="20"/>
  <c r="V14" i="20" s="1"/>
  <c r="U13" i="20"/>
  <c r="V13" i="20" s="1"/>
  <c r="U15" i="20"/>
  <c r="V15" i="20" s="1"/>
  <c r="U12" i="16"/>
  <c r="V12" i="16" s="1"/>
  <c r="AF12" i="16"/>
  <c r="AG12" i="16" s="1"/>
</calcChain>
</file>

<file path=xl/sharedStrings.xml><?xml version="1.0" encoding="utf-8"?>
<sst xmlns="http://schemas.openxmlformats.org/spreadsheetml/2006/main" count="457" uniqueCount="325">
  <si>
    <t>Overall Risk Assessment (ORA) Template</t>
  </si>
  <si>
    <t>Unit:</t>
  </si>
  <si>
    <t>Boundaries for Assessment:</t>
  </si>
  <si>
    <t>Lead Risk Assessor (LRA):</t>
  </si>
  <si>
    <t>Risk Assessment Team Members:</t>
  </si>
  <si>
    <t>Date of Risk Assessment:</t>
  </si>
  <si>
    <t>DESCRIPTION OF RISKS</t>
  </si>
  <si>
    <t>SUMMARY OF EXISTING RISK CONTROLS</t>
  </si>
  <si>
    <t>HUMAN FACTORS</t>
  </si>
  <si>
    <t>COMPLIANCE</t>
  </si>
  <si>
    <t>EXISTING OVERALL RISK</t>
  </si>
  <si>
    <t>ACTION PLAN</t>
  </si>
  <si>
    <r>
      <rPr>
        <b/>
        <sz val="14"/>
        <color theme="7"/>
        <rFont val="Calibri"/>
        <family val="2"/>
        <scheme val="minor"/>
      </rPr>
      <t>RESIDUAL</t>
    </r>
    <r>
      <rPr>
        <b/>
        <sz val="14"/>
        <color theme="0"/>
        <rFont val="Calibri"/>
        <family val="2"/>
        <scheme val="minor"/>
      </rPr>
      <t xml:space="preserve"> OVERALL RISK</t>
    </r>
  </si>
  <si>
    <t>RISK FROM…</t>
  </si>
  <si>
    <t>RISK OF…</t>
  </si>
  <si>
    <t>RISK TO…</t>
  </si>
  <si>
    <t>Cross-refer to other risk assessments</t>
  </si>
  <si>
    <r>
      <rPr>
        <b/>
        <sz val="20"/>
        <color theme="1"/>
        <rFont val="Calibri"/>
        <family val="2"/>
        <scheme val="minor"/>
      </rPr>
      <t>T</t>
    </r>
    <r>
      <rPr>
        <b/>
        <sz val="12"/>
        <color theme="1"/>
        <rFont val="Calibri"/>
        <family val="2"/>
        <scheme val="minor"/>
      </rPr>
      <t>echnical</t>
    </r>
  </si>
  <si>
    <r>
      <rPr>
        <b/>
        <sz val="20"/>
        <color theme="1"/>
        <rFont val="Calibri"/>
        <family val="2"/>
        <scheme val="minor"/>
      </rPr>
      <t>O</t>
    </r>
    <r>
      <rPr>
        <b/>
        <sz val="12"/>
        <color theme="1"/>
        <rFont val="Calibri"/>
        <family val="2"/>
        <scheme val="minor"/>
      </rPr>
      <t>rganisational</t>
    </r>
  </si>
  <si>
    <r>
      <rPr>
        <b/>
        <sz val="20"/>
        <color theme="1"/>
        <rFont val="Calibri"/>
        <family val="2"/>
        <scheme val="minor"/>
      </rPr>
      <t>P</t>
    </r>
    <r>
      <rPr>
        <b/>
        <sz val="12"/>
        <color theme="1"/>
        <rFont val="Calibri"/>
        <family val="2"/>
        <scheme val="minor"/>
      </rPr>
      <t>ersonal</t>
    </r>
  </si>
  <si>
    <t>Application of controls, fatigue, rushing, vulnerable populations, etc.</t>
  </si>
  <si>
    <t>Mark if Not Compliant</t>
  </si>
  <si>
    <r>
      <t xml:space="preserve">Potential Severity
</t>
    </r>
    <r>
      <rPr>
        <sz val="8"/>
        <color theme="0"/>
        <rFont val="Calibri"/>
        <family val="2"/>
        <scheme val="minor"/>
      </rPr>
      <t>(of injury or illness)</t>
    </r>
  </si>
  <si>
    <r>
      <t xml:space="preserve">Likelihood
</t>
    </r>
    <r>
      <rPr>
        <sz val="8"/>
        <color theme="0"/>
        <rFont val="Calibri"/>
        <family val="2"/>
        <scheme val="minor"/>
      </rPr>
      <t>(of injury or illness)</t>
    </r>
  </si>
  <si>
    <t>RF1</t>
  </si>
  <si>
    <t>RF2</t>
  </si>
  <si>
    <t>RF1
x
RF2</t>
  </si>
  <si>
    <t>Risk Level</t>
  </si>
  <si>
    <t>Actions Required</t>
  </si>
  <si>
    <t>Responsible Person</t>
  </si>
  <si>
    <t>Target
Date</t>
  </si>
  <si>
    <t>Date Completed</t>
  </si>
  <si>
    <r>
      <rPr>
        <b/>
        <sz val="14"/>
        <color theme="7"/>
        <rFont val="Calibri"/>
        <family val="2"/>
        <scheme val="minor"/>
      </rPr>
      <t xml:space="preserve">NEW
</t>
    </r>
    <r>
      <rPr>
        <b/>
        <sz val="14"/>
        <color theme="0"/>
        <rFont val="Calibri"/>
        <family val="2"/>
        <scheme val="minor"/>
      </rPr>
      <t xml:space="preserve">Potential Severity
</t>
    </r>
    <r>
      <rPr>
        <sz val="8"/>
        <color theme="0"/>
        <rFont val="Calibri"/>
        <family val="2"/>
        <scheme val="minor"/>
      </rPr>
      <t>(of injury or illness)</t>
    </r>
  </si>
  <si>
    <r>
      <rPr>
        <b/>
        <sz val="14"/>
        <color theme="7"/>
        <rFont val="Calibri"/>
        <family val="2"/>
        <scheme val="minor"/>
      </rPr>
      <t>NEW</t>
    </r>
    <r>
      <rPr>
        <b/>
        <sz val="14"/>
        <color theme="0"/>
        <rFont val="Calibri"/>
        <family val="2"/>
        <scheme val="minor"/>
      </rPr>
      <t xml:space="preserve"> Likelihood
</t>
    </r>
    <r>
      <rPr>
        <sz val="8"/>
        <color theme="0"/>
        <rFont val="Calibri"/>
        <family val="2"/>
        <scheme val="minor"/>
      </rPr>
      <t>(of injury or illness)</t>
    </r>
  </si>
  <si>
    <r>
      <rPr>
        <b/>
        <sz val="20"/>
        <color theme="7"/>
        <rFont val="Calibri"/>
        <family val="2"/>
        <scheme val="minor"/>
      </rPr>
      <t>New</t>
    </r>
    <r>
      <rPr>
        <b/>
        <sz val="20"/>
        <color rgb="FFC00000"/>
        <rFont val="Calibri"/>
        <family val="2"/>
        <scheme val="minor"/>
      </rPr>
      <t xml:space="preserve"> Risk Level</t>
    </r>
  </si>
  <si>
    <t>Hazard - Category</t>
  </si>
  <si>
    <t>How and When Could Harm Occur?</t>
  </si>
  <si>
    <t>Situation</t>
  </si>
  <si>
    <r>
      <t xml:space="preserve">Injury or Illness Category
</t>
    </r>
    <r>
      <rPr>
        <sz val="10"/>
        <color theme="1"/>
        <rFont val="Calibri"/>
        <family val="2"/>
        <scheme val="minor"/>
      </rPr>
      <t>(use multiple rows if applicable)</t>
    </r>
  </si>
  <si>
    <t>Number &amp; Type
of People Exposed</t>
  </si>
  <si>
    <t>Routine</t>
  </si>
  <si>
    <t>Non Routine</t>
  </si>
  <si>
    <t>Emergency</t>
  </si>
  <si>
    <t>Legal</t>
  </si>
  <si>
    <t>Nestlé Group</t>
  </si>
  <si>
    <t>Market / Unit</t>
  </si>
  <si>
    <t>Factory A Packing Hall (all activities)</t>
  </si>
  <si>
    <t>Gary Smith</t>
  </si>
  <si>
    <t>Phil Jones, June Davies, Carly Peters, Sam Wilson</t>
  </si>
  <si>
    <t>12th March 2016</t>
  </si>
  <si>
    <t>Application of controls, fatigue, rushing, experience, age, etc.</t>
  </si>
  <si>
    <r>
      <t xml:space="preserve">Potential Severity
</t>
    </r>
    <r>
      <rPr>
        <sz val="10"/>
        <color theme="0"/>
        <rFont val="Calibri"/>
        <family val="2"/>
        <scheme val="minor"/>
      </rPr>
      <t>(of injury or illness)</t>
    </r>
  </si>
  <si>
    <r>
      <t xml:space="preserve">Likelihood
</t>
    </r>
    <r>
      <rPr>
        <sz val="10"/>
        <color theme="0"/>
        <rFont val="Calibri"/>
        <family val="2"/>
        <scheme val="minor"/>
      </rPr>
      <t>(of injury or illness)</t>
    </r>
  </si>
  <si>
    <r>
      <rPr>
        <b/>
        <sz val="14"/>
        <color theme="7"/>
        <rFont val="Calibri"/>
        <family val="2"/>
        <scheme val="minor"/>
      </rPr>
      <t>NEW</t>
    </r>
    <r>
      <rPr>
        <b/>
        <sz val="14"/>
        <color theme="0"/>
        <rFont val="Calibri"/>
        <family val="2"/>
        <scheme val="minor"/>
      </rPr>
      <t xml:space="preserve"> Potential Severity
</t>
    </r>
    <r>
      <rPr>
        <sz val="8"/>
        <color theme="0"/>
        <rFont val="Calibri"/>
        <family val="2"/>
        <scheme val="minor"/>
      </rPr>
      <t>(of injury or illness)</t>
    </r>
  </si>
  <si>
    <r>
      <t xml:space="preserve">Injury or Illness - Category
</t>
    </r>
    <r>
      <rPr>
        <sz val="8"/>
        <color theme="1"/>
        <rFont val="Calibri"/>
        <family val="2"/>
        <scheme val="minor"/>
      </rPr>
      <t>(use multiple rows if applicable)</t>
    </r>
  </si>
  <si>
    <t>Number &amp; Type of People Exposed</t>
  </si>
  <si>
    <t>Noise</t>
  </si>
  <si>
    <t>Working in area for long periods results in personal daily noise exposures in range 80-83dB(A).</t>
  </si>
  <si>
    <t>√</t>
  </si>
  <si>
    <t>Hearing impairment</t>
  </si>
  <si>
    <t>Personnel working on Lines 75 &amp; 76.</t>
  </si>
  <si>
    <t>Noise Risk Assessment
RA-N-005/15</t>
  </si>
  <si>
    <t>Acoustic enclosures provided for certain machines.  Other non-acoustic enclosures around others.</t>
  </si>
  <si>
    <t>None</t>
  </si>
  <si>
    <t>Use of hearing protection is mandatory around Lines 75 &amp; 76.</t>
  </si>
  <si>
    <t>Hearing protection is not always worn correctly.</t>
  </si>
  <si>
    <t>X</t>
  </si>
  <si>
    <t>Irreversible</t>
  </si>
  <si>
    <t>Likely</t>
  </si>
  <si>
    <t>Focus Management Feedback on use of hearing protection.
Organise study of noise reduction options for Lines 75 &amp; 76.</t>
  </si>
  <si>
    <t>RAJ
PRT</t>
  </si>
  <si>
    <t xml:space="preserve"> Jun 2016
Dec 2016</t>
  </si>
  <si>
    <t>July 2016</t>
  </si>
  <si>
    <t>Unlikely</t>
  </si>
  <si>
    <t>STF (Slip, trip, fall) hazards</t>
  </si>
  <si>
    <t>Falling down crossover stairs while moving from one side of conveyor to the other.</t>
  </si>
  <si>
    <t>MST (Musculo-Skeletal Trauma)</t>
  </si>
  <si>
    <t>All personnel working in Packing Hall, approx 75 people.</t>
  </si>
  <si>
    <t>Stairs are designed and installed to standard.</t>
  </si>
  <si>
    <t>Normal site safety rules applied, ie no running, no use of mobile phones, hold the handrail.</t>
  </si>
  <si>
    <t>Recordable</t>
  </si>
  <si>
    <t>Machinery</t>
  </si>
  <si>
    <t>Hand caught in moving packaging machinery on Line 74 during jam clearance, etc.</t>
  </si>
  <si>
    <t>Amputation</t>
  </si>
  <si>
    <t>Operators on Line 74.  6 people.</t>
  </si>
  <si>
    <t>Mode 0 Assessment RA-ZA-016/14
+ Relevant Task Analyses</t>
  </si>
  <si>
    <t>Guarding is present but not to Zero Access standard.</t>
  </si>
  <si>
    <t>Safety rules include STOP THE EQUIPMENT</t>
  </si>
  <si>
    <t>Operators and technicians observe the STOP THE EQUIPMENT rule.</t>
  </si>
  <si>
    <t>Very Unlikely</t>
  </si>
  <si>
    <t>Upgrade guarding on Line 74 to Zero Access.</t>
  </si>
  <si>
    <t xml:space="preserve"> PRT</t>
  </si>
  <si>
    <t>Jun 2017</t>
  </si>
  <si>
    <t>Stationary objects</t>
  </si>
  <si>
    <t>Bumping head while ducking under overhead conveyors.</t>
  </si>
  <si>
    <t>Cut, abrasion, or bruise</t>
  </si>
  <si>
    <t>Operators on Line 75.  6 people.</t>
  </si>
  <si>
    <t>Overhed conveyors have hazard markings and cushioning, plus no sharp edges.</t>
  </si>
  <si>
    <t>Personnel are often rushing or distracted when moving under conveyors.</t>
  </si>
  <si>
    <t>First Aid</t>
  </si>
  <si>
    <t>Consider use of bump caps.
Explore alternative designs that would eliminate this hazard.</t>
  </si>
  <si>
    <t>RAJ
PRT</t>
  </si>
  <si>
    <t>Jun 2017
Dec 2016</t>
  </si>
  <si>
    <t>Manual handling, awkward posture or repetitive tasks</t>
  </si>
  <si>
    <t>Lifting packaging materials onto line.</t>
  </si>
  <si>
    <t>MSD (Musculo-Skeletal Disease)</t>
  </si>
  <si>
    <t>1 operator per line (Position 1), all lines.  Approx 15 people.</t>
  </si>
  <si>
    <t>ErgoPro Assessments for all lines</t>
  </si>
  <si>
    <t>Electric pallet truck.  Scissor table.  Infeed at approx waist height.</t>
  </si>
  <si>
    <r>
      <t>Safety &amp; Health Risk Assessment Matrix</t>
    </r>
    <r>
      <rPr>
        <vertAlign val="superscript"/>
        <sz val="20"/>
        <color theme="1"/>
        <rFont val="Calibri"/>
        <family val="2"/>
        <scheme val="minor"/>
      </rPr>
      <t>1</t>
    </r>
  </si>
  <si>
    <r>
      <t>Guidance on Estimating Likelihood</t>
    </r>
    <r>
      <rPr>
        <vertAlign val="superscript"/>
        <sz val="12"/>
        <color theme="0"/>
        <rFont val="Calibri"/>
        <family val="2"/>
        <scheme val="minor"/>
      </rPr>
      <t>2</t>
    </r>
  </si>
  <si>
    <t>1
First Aid</t>
  </si>
  <si>
    <r>
      <t>2
Recordable</t>
    </r>
    <r>
      <rPr>
        <vertAlign val="superscript"/>
        <sz val="18"/>
        <rFont val="Calibri"/>
        <family val="2"/>
        <scheme val="minor"/>
      </rPr>
      <t>4</t>
    </r>
  </si>
  <si>
    <t>3
Irreversible</t>
  </si>
  <si>
    <t>4
Fatal</t>
  </si>
  <si>
    <t>Situations</t>
  </si>
  <si>
    <r>
      <t>Frequency of Incidents
&amp; At-Risk Behaviours</t>
    </r>
    <r>
      <rPr>
        <vertAlign val="superscript"/>
        <sz val="12"/>
        <color theme="0"/>
        <rFont val="Calibri"/>
        <family val="2"/>
        <scheme val="minor"/>
      </rPr>
      <t>3</t>
    </r>
  </si>
  <si>
    <r>
      <t xml:space="preserve">Likelihood </t>
    </r>
    <r>
      <rPr>
        <sz val="14"/>
        <color theme="0"/>
        <rFont val="Calibri"/>
        <family val="2"/>
        <scheme val="minor"/>
      </rPr>
      <t>(of Injury or Illness)</t>
    </r>
    <r>
      <rPr>
        <vertAlign val="superscript"/>
        <sz val="14"/>
        <color theme="0"/>
        <rFont val="Calibri"/>
        <family val="2"/>
        <scheme val="minor"/>
      </rPr>
      <t>2</t>
    </r>
  </si>
  <si>
    <t>4
Very
Likely</t>
  </si>
  <si>
    <t>Controls are missing or ineffective.  Minimal or no risk awareness.</t>
  </si>
  <si>
    <t>Frequent</t>
  </si>
  <si>
    <t>4
Medium Risk</t>
  </si>
  <si>
    <t>8
High Risk</t>
  </si>
  <si>
    <t>12
Extreme Risk</t>
  </si>
  <si>
    <t>16
Extreme Risk</t>
  </si>
  <si>
    <t>3
Likely</t>
  </si>
  <si>
    <t>Heavily reliant on unreliable organisational controls.</t>
  </si>
  <si>
    <t>Occasional</t>
  </si>
  <si>
    <t>3
Medium Risk</t>
  </si>
  <si>
    <t>6
High Risk</t>
  </si>
  <si>
    <t>9
High Risk</t>
  </si>
  <si>
    <t>2
Unlikely</t>
  </si>
  <si>
    <t>Workplace and task are optimized.  Reliable controls are in place.</t>
  </si>
  <si>
    <t>Rare</t>
  </si>
  <si>
    <t>2
Low Risk</t>
  </si>
  <si>
    <t>1
Very
Unlikely</t>
  </si>
  <si>
    <t>Safe by design.
Nearly impossible to get hurt.</t>
  </si>
  <si>
    <t>1
Low Risk</t>
  </si>
  <si>
    <r>
      <t>Potential Severity</t>
    </r>
    <r>
      <rPr>
        <b/>
        <sz val="14"/>
        <color theme="0"/>
        <rFont val="Calibri"/>
        <family val="2"/>
        <scheme val="minor"/>
      </rPr>
      <t xml:space="preserve"> </t>
    </r>
    <r>
      <rPr>
        <sz val="14"/>
        <color theme="0"/>
        <rFont val="Calibri"/>
        <family val="2"/>
        <scheme val="minor"/>
      </rPr>
      <t>(of injury or illness)</t>
    </r>
  </si>
  <si>
    <t>How to Interpret Risk Levels?</t>
  </si>
  <si>
    <t>Extreme Risk</t>
  </si>
  <si>
    <r>
      <rPr>
        <b/>
        <sz val="8"/>
        <color theme="1"/>
        <rFont val="Calibri"/>
        <family val="2"/>
        <scheme val="minor"/>
      </rPr>
      <t xml:space="preserve">Not tolerable: </t>
    </r>
    <r>
      <rPr>
        <sz val="8"/>
        <color theme="1"/>
        <rFont val="Calibri"/>
        <family val="2"/>
        <scheme val="minor"/>
      </rPr>
      <t>Immediate action required</t>
    </r>
  </si>
  <si>
    <t>High Risk</t>
  </si>
  <si>
    <r>
      <rPr>
        <b/>
        <sz val="8"/>
        <color theme="1"/>
        <rFont val="Calibri"/>
        <family val="2"/>
        <scheme val="minor"/>
      </rPr>
      <t xml:space="preserve">Not tolerable: </t>
    </r>
    <r>
      <rPr>
        <sz val="8"/>
        <color theme="1"/>
        <rFont val="Calibri"/>
        <family val="2"/>
        <scheme val="minor"/>
      </rPr>
      <t>Urgent management attention required</t>
    </r>
  </si>
  <si>
    <t>Medium Risk</t>
  </si>
  <si>
    <r>
      <rPr>
        <b/>
        <sz val="8"/>
        <color theme="1"/>
        <rFont val="Calibri"/>
        <family val="2"/>
        <scheme val="minor"/>
      </rPr>
      <t xml:space="preserve">Not tolerable: </t>
    </r>
    <r>
      <rPr>
        <sz val="8"/>
        <color theme="1"/>
        <rFont val="Calibri"/>
        <family val="2"/>
        <scheme val="minor"/>
      </rPr>
      <t>Management attention required as soon as possible</t>
    </r>
  </si>
  <si>
    <t>Low Risk</t>
  </si>
  <si>
    <r>
      <rPr>
        <b/>
        <sz val="8"/>
        <color theme="1"/>
        <rFont val="Calibri"/>
        <family val="2"/>
        <scheme val="minor"/>
      </rPr>
      <t>May be tolerable:</t>
    </r>
    <r>
      <rPr>
        <sz val="8"/>
        <color theme="1"/>
        <rFont val="Calibri"/>
        <family val="2"/>
        <scheme val="minor"/>
      </rPr>
      <t xml:space="preserve"> Longer term action may be required (if not compliant to standard)</t>
    </r>
  </si>
  <si>
    <t>Notes:</t>
  </si>
  <si>
    <t>1. To be used in the following sequence: i) Identify the incident scenario, ii) Determine Potential Severity, iii) Estimate Likelihood, iv) Read off Risk Level.</t>
  </si>
  <si>
    <t>2. When estimating Likelihood, consider the size of the exposed population, and the frequency and duration of their exposure to the source of risk.</t>
  </si>
  <si>
    <t>3. When considing incidents, ensure you include near misses.  But remember that the number of reported near misses and at-risk behaviours will depend on the level of S&amp;H awareness - and quality of the "reporting culture" - in the unit.  Wherever possible involve the exposed population in the risk assessment and ask for their input on frequencies.</t>
  </si>
  <si>
    <t>4. "Recordable" injuries &amp; illnesses are those that require: i) medical treatment beyond first aid, ii) restricted work, or iii) lost time.</t>
  </si>
  <si>
    <t>Safety &amp; Health Risk Map</t>
  </si>
  <si>
    <t>2
Recordable</t>
  </si>
  <si>
    <r>
      <t>Likelihood</t>
    </r>
    <r>
      <rPr>
        <sz val="11"/>
        <color theme="1"/>
        <rFont val="Calibri"/>
        <family val="2"/>
        <scheme val="minor"/>
      </rPr>
      <t/>
    </r>
  </si>
  <si>
    <t>Potential Severity</t>
  </si>
  <si>
    <t>Frequency of Task</t>
  </si>
  <si>
    <t>NA</t>
  </si>
  <si>
    <t>Low</t>
  </si>
  <si>
    <t>HAZARD - CATEGORIES</t>
  </si>
  <si>
    <t>Category</t>
  </si>
  <si>
    <t>Examples</t>
  </si>
  <si>
    <t>Examples of Potential Harm</t>
  </si>
  <si>
    <t>Uneven floors</t>
  </si>
  <si>
    <t>Materials on floor surfaces</t>
  </si>
  <si>
    <t>Holes, penetrations or gaps in floors</t>
  </si>
  <si>
    <t>Falls on same level or on stairs, causing impact injuries.</t>
  </si>
  <si>
    <t>Hot surfaces or materials</t>
  </si>
  <si>
    <t>Heat sealing equipment</t>
  </si>
  <si>
    <t>Hot process equipment</t>
  </si>
  <si>
    <t>Steam and hot water systems</t>
  </si>
  <si>
    <t>Contact with hot surfaces or materials, causing burns.</t>
  </si>
  <si>
    <t>Ergonomic risk</t>
  </si>
  <si>
    <t>Manual handling</t>
  </si>
  <si>
    <t>Repetitive tasks</t>
  </si>
  <si>
    <t>Awkward posture</t>
  </si>
  <si>
    <t>Excessive force, frequency or posture, causing musculo-skeletal disease (MSD).</t>
  </si>
  <si>
    <t>Chemicals, dusts or gases</t>
  </si>
  <si>
    <t>Sensitizers (eg flour, grain dust)</t>
  </si>
  <si>
    <t>Corrosive or irritant chemicals</t>
  </si>
  <si>
    <t>Asphyixiants</t>
  </si>
  <si>
    <t>Excessive exposures, causing various acute or chronic health effects.</t>
  </si>
  <si>
    <t>Collapse or overturn</t>
  </si>
  <si>
    <t>Racking</t>
  </si>
  <si>
    <t>Silos</t>
  </si>
  <si>
    <t>Scaffolding</t>
  </si>
  <si>
    <t>Collapse of structures or falling materials, causing impact or crush injuries.</t>
  </si>
  <si>
    <t>Pressurized systems</t>
  </si>
  <si>
    <t>Steam</t>
  </si>
  <si>
    <t>Compressed air</t>
  </si>
  <si>
    <t>Liquid under pressure</t>
  </si>
  <si>
    <t>Uncontrolled release of energy, causing burns or impact injuries.</t>
  </si>
  <si>
    <t>Work at height</t>
  </si>
  <si>
    <t>Platforms, walkways &amp; roofs</t>
  </si>
  <si>
    <t>Scaffolds, MEWPs, etc</t>
  </si>
  <si>
    <t>Stairs and ladders</t>
  </si>
  <si>
    <t>Fall from elevated areas or collapses of platforms, causing impact injuries.</t>
  </si>
  <si>
    <t>Lifting operations</t>
  </si>
  <si>
    <t>Cranes and hoists</t>
  </si>
  <si>
    <t>FIBC (big bag) handling</t>
  </si>
  <si>
    <t>Personnel lifts</t>
  </si>
  <si>
    <t>Sudden failure of equipment, causing falling objects, personnel.</t>
  </si>
  <si>
    <t>Sharp edges</t>
  </si>
  <si>
    <t>Low clearances</t>
  </si>
  <si>
    <t>Obstructions</t>
  </si>
  <si>
    <t>Accidental contact, causing cuts, bruises, etc.</t>
  </si>
  <si>
    <t>Hand tools</t>
  </si>
  <si>
    <t>Spanners, screwdrivers</t>
  </si>
  <si>
    <t>Drills, saws, etc</t>
  </si>
  <si>
    <t>Hammers</t>
  </si>
  <si>
    <t xml:space="preserve">Sudden release or slipping, causing impact or cutting injuries.  </t>
  </si>
  <si>
    <t>Electricity</t>
  </si>
  <si>
    <t>Portable electrical equipment</t>
  </si>
  <si>
    <t>Electrical distribution systems</t>
  </si>
  <si>
    <t>Sockets, plugs, extension leads</t>
  </si>
  <si>
    <t>Overheating of circuits, causing fires. Contact with conductors, causing electrical shock or burns.</t>
  </si>
  <si>
    <t>Vehicles</t>
  </si>
  <si>
    <t>Delivery trucks</t>
  </si>
  <si>
    <t>Passenger vehicles</t>
  </si>
  <si>
    <t>Onsite vehicles</t>
  </si>
  <si>
    <t>Collision with pedestrians, other road users, or road-side objects, causing impact or crush injuries.</t>
  </si>
  <si>
    <t>MHE</t>
  </si>
  <si>
    <t>PITs</t>
  </si>
  <si>
    <t>Pedestrian-operated pallet trucks</t>
  </si>
  <si>
    <t>AGVs</t>
  </si>
  <si>
    <t>Collision with pedestrians or workplace objects, causing impact/crush injuries.  Rollover, causing crush injuries to operator.</t>
  </si>
  <si>
    <t>Mixers &amp; blenders</t>
  </si>
  <si>
    <t>Rotary valves, screw feeders</t>
  </si>
  <si>
    <t>Filling &amp; packing equipment</t>
  </si>
  <si>
    <t>Contact with dangerous parts, causing crush injuries.  Ejection of debris or parts can cause impact injuries.</t>
  </si>
  <si>
    <t>High noise levels</t>
  </si>
  <si>
    <t>Hand-arm vibration from hand tools</t>
  </si>
  <si>
    <t>Whole-body vibration from PITs</t>
  </si>
  <si>
    <t>Excessive exposures, causing irreversible noise-induced hearing loss (NIHL).</t>
  </si>
  <si>
    <t>Vibration</t>
  </si>
  <si>
    <t>Powered Hand Tools (Hand-arm)</t>
  </si>
  <si>
    <t>PITs (whole body)</t>
  </si>
  <si>
    <t>Delivery trucks (whole body)</t>
  </si>
  <si>
    <t>Excessive exposures, causing MSDs or chronic health effects to nervous system.</t>
  </si>
  <si>
    <t>Explosive atmospheres</t>
  </si>
  <si>
    <t>Flour dust</t>
  </si>
  <si>
    <t>Natural gas</t>
  </si>
  <si>
    <t>Flammable liquids</t>
  </si>
  <si>
    <t>Explosive atmospheres can be ignited, causing fires or explosions.</t>
  </si>
  <si>
    <t xml:space="preserve">Combustible materials </t>
  </si>
  <si>
    <t>Combustible wastes</t>
  </si>
  <si>
    <t>Fuels</t>
  </si>
  <si>
    <t>Bulk material storage</t>
  </si>
  <si>
    <t>Accumulations can be ignited, causing fires.</t>
  </si>
  <si>
    <t>Confined space entry</t>
  </si>
  <si>
    <t>Tanks &amp; silos</t>
  </si>
  <si>
    <t>Pits, sumps &amp; sewers</t>
  </si>
  <si>
    <t>Excavations</t>
  </si>
  <si>
    <t>Personnel can be overcome by hazardous atmospheres.   Personnel can become trapped, making rescue difficult.</t>
  </si>
  <si>
    <t>Building excavations</t>
  </si>
  <si>
    <t>Collapse, causing crush injuries.  Exposure to buried services or hazardous materials, causing various injuries or illnesses.</t>
  </si>
  <si>
    <t>Biological agents</t>
  </si>
  <si>
    <t>Legionella in water systems</t>
  </si>
  <si>
    <t>Laboratory pathogens</t>
  </si>
  <si>
    <t>Bloodborne pathogens</t>
  </si>
  <si>
    <t>Accidental exposures to bacteria, viruses, causing various health effects.</t>
  </si>
  <si>
    <t>Cold or hot environments</t>
  </si>
  <si>
    <t>Cold storage areas</t>
  </si>
  <si>
    <t>External working in cold weather</t>
  </si>
  <si>
    <t>External working in hot weather</t>
  </si>
  <si>
    <t>Excessive exposure, causing cold or heat stress.  Also can be a contributor to fatigue.</t>
  </si>
  <si>
    <t>Psychological factors</t>
  </si>
  <si>
    <t>Management behaviour</t>
  </si>
  <si>
    <t>Excessive workload/lack of resources</t>
  </si>
  <si>
    <t>Poor relations with colleagues</t>
  </si>
  <si>
    <t>Excessive pressures, causing mental health problems such as depression.</t>
  </si>
  <si>
    <t>Violence</t>
  </si>
  <si>
    <t>Security activities</t>
  </si>
  <si>
    <t>Interactions with public</t>
  </si>
  <si>
    <t>Physical or verbal violence, causing physical or psychological harm.</t>
  </si>
  <si>
    <t>Animals</t>
  </si>
  <si>
    <t>Farm animals</t>
  </si>
  <si>
    <t>Laboratory animals</t>
  </si>
  <si>
    <t>Consumer pets</t>
  </si>
  <si>
    <t>Animal bites causing injuries, or exposure to dander or zoonoses, causing illnesses.</t>
  </si>
  <si>
    <t>Radiation</t>
  </si>
  <si>
    <t>Ionizing radiation</t>
  </si>
  <si>
    <t>Lasers</t>
  </si>
  <si>
    <t>UV lights</t>
  </si>
  <si>
    <t>Excessive exposure presents risk of short-term injury or long-term ill health.</t>
  </si>
  <si>
    <t>Weather/natural hazards</t>
  </si>
  <si>
    <t>Storms</t>
  </si>
  <si>
    <t>Floods</t>
  </si>
  <si>
    <t>Earthquakes</t>
  </si>
  <si>
    <t>Extreme weather can create many different hazards and interrupt safety systems and services.</t>
  </si>
  <si>
    <t>Other</t>
  </si>
  <si>
    <t>INJURY &amp; ILLNESS CLASSIFICATION</t>
  </si>
  <si>
    <t>Burn (chemical)</t>
  </si>
  <si>
    <t>Burn (thermal)</t>
  </si>
  <si>
    <t>Concussion</t>
  </si>
  <si>
    <t>Foreign Body</t>
  </si>
  <si>
    <t>Fracture</t>
  </si>
  <si>
    <t>Puncture/Splinter</t>
  </si>
  <si>
    <t>Respiratory disorder</t>
  </si>
  <si>
    <t>Skin disorder</t>
  </si>
  <si>
    <t>Mental ill health</t>
  </si>
  <si>
    <t>Poisoning</t>
  </si>
  <si>
    <t>Vision impairment</t>
  </si>
  <si>
    <t>Digestive system disorder</t>
  </si>
  <si>
    <t>Cancer</t>
  </si>
  <si>
    <t>Multiple injuries or illnesses</t>
  </si>
  <si>
    <t>Potential Severity Categories</t>
  </si>
  <si>
    <t>RF</t>
  </si>
  <si>
    <t>Risk Value</t>
  </si>
  <si>
    <t>Fatal</t>
  </si>
  <si>
    <t>No Risk</t>
  </si>
  <si>
    <t>Hurt/No Harm</t>
  </si>
  <si>
    <t>Likelihood Categories</t>
  </si>
  <si>
    <t>Very Likely</t>
  </si>
  <si>
    <t>Impossible</t>
  </si>
  <si>
    <t>Tick Mark</t>
  </si>
  <si>
    <t>Cross Mark</t>
  </si>
  <si>
    <t>Modes of Operation &amp; Maintenance</t>
  </si>
  <si>
    <t>Risk Reckoner DPI Value</t>
  </si>
  <si>
    <t>Likely Level of Supervision</t>
  </si>
  <si>
    <t>Continuous</t>
  </si>
  <si>
    <t>High</t>
  </si>
  <si>
    <t>Medium</t>
  </si>
  <si>
    <t>None (Unsupervised)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</si>
</sst>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38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vertAlign val="superscript"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theme="7"/>
      <name val="Calibri"/>
      <family val="2"/>
      <scheme val="minor"/>
    </font>
    <font>
      <sz val="28"/>
      <color theme="1"/>
      <name val="Calibri"/>
      <family val="2"/>
      <scheme val="minor"/>
    </font>
    <font>
      <vertAlign val="superscript"/>
      <sz val="18"/>
      <name val="Calibri"/>
      <family val="2"/>
      <scheme val="minor"/>
    </font>
    <font>
      <sz val="14"/>
      <color theme="0"/>
      <name val="Calibri"/>
      <family val="2"/>
      <scheme val="minor"/>
    </font>
    <font>
      <vertAlign val="superscript"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2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20"/>
      <color theme="7"/>
      <name val="Calibri"/>
      <family val="2"/>
      <scheme val="minor"/>
    </font>
    <font>
      <sz val="9"/>
      <color theme="1"/>
      <name val="Symbol"/>
      <family val="1"/>
      <charset val="2"/>
    </font>
    <font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vertAlign val="superscript"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gradientFill>
        <stop position="0">
          <color rgb="FFFFFF00"/>
        </stop>
        <stop position="1">
          <color rgb="FFFFCC00"/>
        </stop>
      </gradientFill>
    </fill>
    <fill>
      <gradientFill>
        <stop position="0">
          <color rgb="FFFFCC00"/>
        </stop>
        <stop position="1">
          <color rgb="FFFF9933"/>
        </stop>
      </gradientFill>
    </fill>
    <fill>
      <gradientFill>
        <stop position="0">
          <color rgb="FFFF9933"/>
        </stop>
        <stop position="1">
          <color rgb="FFFF0000"/>
        </stop>
      </gradientFill>
    </fill>
    <fill>
      <patternFill patternType="solid">
        <fgColor rgb="FFFF0000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gradientFill degree="90">
        <stop position="0">
          <color rgb="FFFFFF00"/>
        </stop>
        <stop position="1">
          <color rgb="FFFFCC00"/>
        </stop>
      </gradientFill>
    </fill>
    <fill>
      <gradientFill degree="90">
        <stop position="0">
          <color rgb="FFFFCC00"/>
        </stop>
        <stop position="1">
          <color rgb="FFFF9933"/>
        </stop>
      </gradientFill>
    </fill>
    <fill>
      <gradientFill degree="270">
        <stop position="0">
          <color rgb="FFFF9933"/>
        </stop>
        <stop position="1">
          <color rgb="FFFF0000"/>
        </stop>
      </gradient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theme="1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</cellStyleXfs>
  <cellXfs count="20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vertical="top" wrapText="1"/>
    </xf>
    <xf numFmtId="0" fontId="7" fillId="8" borderId="1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2" fillId="12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2" fillId="0" borderId="0" xfId="0" applyFont="1"/>
    <xf numFmtId="0" fontId="8" fillId="0" borderId="0" xfId="0" applyFont="1"/>
    <xf numFmtId="0" fontId="13" fillId="6" borderId="1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30" borderId="7" xfId="0" applyFont="1" applyFill="1" applyBorder="1" applyAlignment="1">
      <alignment horizontal="center" vertical="center" wrapText="1"/>
    </xf>
    <xf numFmtId="0" fontId="12" fillId="19" borderId="7" xfId="0" applyFont="1" applyFill="1" applyBorder="1" applyAlignment="1">
      <alignment horizontal="center" vertical="center" wrapText="1"/>
    </xf>
    <xf numFmtId="0" fontId="12" fillId="20" borderId="7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3" fillId="5" borderId="1" xfId="0" applyFont="1" applyFill="1" applyBorder="1" applyAlignment="1">
      <alignment horizontal="center"/>
    </xf>
    <xf numFmtId="0" fontId="7" fillId="7" borderId="2" xfId="0" applyFont="1" applyFill="1" applyBorder="1" applyAlignment="1">
      <alignment vertical="center"/>
    </xf>
    <xf numFmtId="0" fontId="7" fillId="7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0" xfId="0" applyFont="1"/>
    <xf numFmtId="0" fontId="2" fillId="27" borderId="5" xfId="0" applyFont="1" applyFill="1" applyBorder="1" applyAlignment="1">
      <alignment horizontal="center" vertical="center"/>
    </xf>
    <xf numFmtId="0" fontId="13" fillId="27" borderId="8" xfId="0" applyFont="1" applyFill="1" applyBorder="1" applyAlignment="1">
      <alignment horizontal="center" vertical="center" wrapText="1"/>
    </xf>
    <xf numFmtId="0" fontId="13" fillId="27" borderId="10" xfId="0" applyFont="1" applyFill="1" applyBorder="1" applyAlignment="1">
      <alignment horizontal="center" vertical="center" wrapText="1"/>
    </xf>
    <xf numFmtId="0" fontId="13" fillId="27" borderId="9" xfId="0" applyFont="1" applyFill="1" applyBorder="1" applyAlignment="1">
      <alignment horizontal="center" vertical="center" wrapText="1"/>
    </xf>
    <xf numFmtId="0" fontId="13" fillId="24" borderId="12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0" fillId="18" borderId="12" xfId="0" applyFont="1" applyFill="1" applyBorder="1" applyAlignment="1">
      <alignment horizontal="center" vertical="center" wrapText="1"/>
    </xf>
    <xf numFmtId="0" fontId="11" fillId="25" borderId="12" xfId="0" applyFont="1" applyFill="1" applyBorder="1" applyAlignment="1">
      <alignment horizontal="center" vertical="center" wrapText="1"/>
    </xf>
    <xf numFmtId="0" fontId="11" fillId="20" borderId="12" xfId="0" applyFont="1" applyFill="1" applyBorder="1" applyAlignment="1">
      <alignment horizontal="center" vertical="center" wrapText="1"/>
    </xf>
    <xf numFmtId="16" fontId="10" fillId="23" borderId="12" xfId="0" applyNumberFormat="1" applyFont="1" applyFill="1" applyBorder="1" applyAlignment="1">
      <alignment horizontal="center" vertical="center" wrapText="1"/>
    </xf>
    <xf numFmtId="16" fontId="10" fillId="22" borderId="12" xfId="0" applyNumberFormat="1" applyFont="1" applyFill="1" applyBorder="1" applyAlignment="1">
      <alignment horizontal="center" vertical="center" wrapText="1"/>
    </xf>
    <xf numFmtId="0" fontId="10" fillId="21" borderId="12" xfId="0" applyFont="1" applyFill="1" applyBorder="1" applyAlignment="1">
      <alignment horizontal="center" vertical="center" wrapText="1"/>
    </xf>
    <xf numFmtId="0" fontId="13" fillId="24" borderId="19" xfId="0" applyFont="1" applyFill="1" applyBorder="1" applyAlignment="1">
      <alignment horizontal="center" vertical="center" wrapText="1"/>
    </xf>
    <xf numFmtId="0" fontId="11" fillId="25" borderId="26" xfId="0" applyFont="1" applyFill="1" applyBorder="1" applyAlignment="1">
      <alignment horizontal="center" vertical="center" wrapText="1"/>
    </xf>
    <xf numFmtId="0" fontId="11" fillId="19" borderId="26" xfId="0" applyFont="1" applyFill="1" applyBorder="1" applyAlignment="1">
      <alignment horizontal="center" vertical="center" wrapText="1"/>
    </xf>
    <xf numFmtId="0" fontId="11" fillId="25" borderId="27" xfId="0" applyFont="1" applyFill="1" applyBorder="1" applyAlignment="1">
      <alignment horizontal="center" vertical="center" wrapText="1"/>
    </xf>
    <xf numFmtId="0" fontId="11" fillId="20" borderId="28" xfId="0" applyFont="1" applyFill="1" applyBorder="1" applyAlignment="1">
      <alignment horizontal="center" vertical="center" wrapText="1"/>
    </xf>
    <xf numFmtId="0" fontId="11" fillId="13" borderId="28" xfId="0" applyFont="1" applyFill="1" applyBorder="1" applyAlignment="1">
      <alignment horizontal="center" vertical="center" wrapText="1"/>
    </xf>
    <xf numFmtId="0" fontId="11" fillId="19" borderId="29" xfId="0" applyFont="1" applyFill="1" applyBorder="1" applyAlignment="1">
      <alignment horizontal="center" vertical="center" wrapText="1"/>
    </xf>
    <xf numFmtId="0" fontId="11" fillId="19" borderId="30" xfId="0" applyFont="1" applyFill="1" applyBorder="1" applyAlignment="1">
      <alignment horizontal="center" vertical="center" wrapText="1"/>
    </xf>
    <xf numFmtId="0" fontId="11" fillId="25" borderId="30" xfId="0" applyFont="1" applyFill="1" applyBorder="1" applyAlignment="1">
      <alignment horizontal="center" vertical="center" wrapText="1"/>
    </xf>
    <xf numFmtId="0" fontId="11" fillId="13" borderId="31" xfId="0" applyFont="1" applyFill="1" applyBorder="1" applyAlignment="1">
      <alignment horizontal="center" vertical="center" wrapText="1"/>
    </xf>
    <xf numFmtId="0" fontId="11" fillId="13" borderId="17" xfId="0" applyFont="1" applyFill="1" applyBorder="1" applyAlignment="1">
      <alignment horizontal="center" vertical="center" wrapText="1"/>
    </xf>
    <xf numFmtId="0" fontId="11" fillId="20" borderId="17" xfId="0" applyFont="1" applyFill="1" applyBorder="1" applyAlignment="1">
      <alignment horizontal="center" vertical="center" wrapText="1"/>
    </xf>
    <xf numFmtId="0" fontId="11" fillId="25" borderId="32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0" fillId="0" borderId="13" xfId="0" applyBorder="1"/>
    <xf numFmtId="0" fontId="0" fillId="25" borderId="18" xfId="0" applyFill="1" applyBorder="1"/>
    <xf numFmtId="0" fontId="0" fillId="25" borderId="14" xfId="0" applyFill="1" applyBorder="1"/>
    <xf numFmtId="0" fontId="0" fillId="25" borderId="33" xfId="0" applyFill="1" applyBorder="1"/>
    <xf numFmtId="0" fontId="0" fillId="25" borderId="15" xfId="0" applyFill="1" applyBorder="1"/>
    <xf numFmtId="0" fontId="0" fillId="25" borderId="0" xfId="0" applyFill="1"/>
    <xf numFmtId="0" fontId="0" fillId="25" borderId="6" xfId="0" applyFill="1" applyBorder="1"/>
    <xf numFmtId="0" fontId="0" fillId="25" borderId="5" xfId="0" applyFill="1" applyBorder="1"/>
    <xf numFmtId="0" fontId="0" fillId="25" borderId="16" xfId="0" applyFill="1" applyBorder="1"/>
    <xf numFmtId="0" fontId="24" fillId="13" borderId="12" xfId="0" applyFont="1" applyFill="1" applyBorder="1" applyAlignment="1">
      <alignment horizontal="center" vertical="center" wrapText="1"/>
    </xf>
    <xf numFmtId="0" fontId="24" fillId="20" borderId="12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24" fillId="19" borderId="1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top" wrapText="1"/>
    </xf>
    <xf numFmtId="0" fontId="12" fillId="27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vertical="top"/>
    </xf>
    <xf numFmtId="0" fontId="27" fillId="31" borderId="8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textRotation="90" wrapText="1"/>
    </xf>
    <xf numFmtId="0" fontId="16" fillId="0" borderId="0" xfId="0" applyFont="1"/>
    <xf numFmtId="0" fontId="24" fillId="24" borderId="7" xfId="0" applyFont="1" applyFill="1" applyBorder="1" applyAlignment="1">
      <alignment horizontal="left" vertical="center" wrapText="1"/>
    </xf>
    <xf numFmtId="0" fontId="24" fillId="24" borderId="7" xfId="0" applyFont="1" applyFill="1" applyBorder="1" applyAlignment="1">
      <alignment horizontal="center" vertical="center" wrapText="1"/>
    </xf>
    <xf numFmtId="17" fontId="12" fillId="0" borderId="7" xfId="0" applyNumberFormat="1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indent="2"/>
    </xf>
    <xf numFmtId="0" fontId="33" fillId="0" borderId="0" xfId="0" applyFont="1"/>
    <xf numFmtId="0" fontId="32" fillId="0" borderId="0" xfId="0" applyFont="1" applyAlignment="1">
      <alignment horizontal="left" vertical="center" indent="1"/>
    </xf>
    <xf numFmtId="0" fontId="12" fillId="34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28" fillId="10" borderId="8" xfId="0" applyFont="1" applyFill="1" applyBorder="1" applyAlignment="1">
      <alignment horizontal="center" vertical="center" wrapText="1"/>
    </xf>
    <xf numFmtId="0" fontId="28" fillId="10" borderId="10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center" vertical="center" wrapText="1"/>
    </xf>
    <xf numFmtId="0" fontId="30" fillId="10" borderId="10" xfId="0" applyFont="1" applyFill="1" applyBorder="1" applyAlignment="1">
      <alignment horizontal="center" vertical="center" wrapText="1"/>
    </xf>
    <xf numFmtId="0" fontId="30" fillId="10" borderId="9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7" fillId="14" borderId="10" xfId="0" applyFont="1" applyFill="1" applyBorder="1" applyAlignment="1">
      <alignment horizontal="center" vertical="center" wrapText="1"/>
    </xf>
    <xf numFmtId="0" fontId="7" fillId="14" borderId="9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13" fillId="29" borderId="8" xfId="0" applyFont="1" applyFill="1" applyBorder="1" applyAlignment="1">
      <alignment horizontal="center" vertical="center" wrapText="1"/>
    </xf>
    <xf numFmtId="0" fontId="13" fillId="29" borderId="10" xfId="0" applyFont="1" applyFill="1" applyBorder="1" applyAlignment="1">
      <alignment horizontal="center" vertical="center" wrapText="1"/>
    </xf>
    <xf numFmtId="0" fontId="13" fillId="29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7" fillId="11" borderId="16" xfId="0" applyFont="1" applyFill="1" applyBorder="1" applyAlignment="1">
      <alignment horizontal="center" vertical="center"/>
    </xf>
    <xf numFmtId="0" fontId="7" fillId="31" borderId="2" xfId="0" applyFont="1" applyFill="1" applyBorder="1" applyAlignment="1">
      <alignment horizontal="center" vertical="center"/>
    </xf>
    <xf numFmtId="0" fontId="7" fillId="31" borderId="3" xfId="0" applyFont="1" applyFill="1" applyBorder="1" applyAlignment="1">
      <alignment horizontal="center" vertical="center"/>
    </xf>
    <xf numFmtId="0" fontId="7" fillId="31" borderId="4" xfId="0" applyFont="1" applyFill="1" applyBorder="1" applyAlignment="1">
      <alignment horizontal="center" vertical="center"/>
    </xf>
    <xf numFmtId="0" fontId="28" fillId="10" borderId="14" xfId="0" applyFont="1" applyFill="1" applyBorder="1" applyAlignment="1">
      <alignment horizontal="center" vertical="center"/>
    </xf>
    <xf numFmtId="0" fontId="28" fillId="10" borderId="15" xfId="0" applyFont="1" applyFill="1" applyBorder="1" applyAlignment="1">
      <alignment horizontal="center" vertical="center"/>
    </xf>
    <xf numFmtId="0" fontId="28" fillId="10" borderId="16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7" fillId="31" borderId="13" xfId="0" applyFont="1" applyFill="1" applyBorder="1" applyAlignment="1">
      <alignment horizontal="center" vertical="center" wrapText="1"/>
    </xf>
    <xf numFmtId="0" fontId="17" fillId="31" borderId="18" xfId="0" applyFont="1" applyFill="1" applyBorder="1" applyAlignment="1">
      <alignment horizontal="center" vertical="center" wrapText="1"/>
    </xf>
    <xf numFmtId="0" fontId="17" fillId="31" borderId="14" xfId="0" applyFont="1" applyFill="1" applyBorder="1" applyAlignment="1">
      <alignment horizontal="center" vertical="center" wrapText="1"/>
    </xf>
    <xf numFmtId="0" fontId="17" fillId="31" borderId="6" xfId="0" applyFont="1" applyFill="1" applyBorder="1" applyAlignment="1">
      <alignment horizontal="center" vertical="center" wrapText="1"/>
    </xf>
    <xf numFmtId="0" fontId="17" fillId="31" borderId="5" xfId="0" applyFont="1" applyFill="1" applyBorder="1" applyAlignment="1">
      <alignment horizontal="center" vertical="center" wrapText="1"/>
    </xf>
    <xf numFmtId="0" fontId="17" fillId="31" borderId="16" xfId="0" applyFont="1" applyFill="1" applyBorder="1" applyAlignment="1">
      <alignment horizontal="center" vertical="center" wrapText="1"/>
    </xf>
    <xf numFmtId="0" fontId="16" fillId="28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7" fillId="8" borderId="1" xfId="0" applyFont="1" applyFill="1" applyBorder="1"/>
    <xf numFmtId="0" fontId="7" fillId="7" borderId="2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1" xfId="0" applyFont="1" applyBorder="1"/>
    <xf numFmtId="0" fontId="16" fillId="28" borderId="1" xfId="0" applyFont="1" applyFill="1" applyBorder="1"/>
    <xf numFmtId="0" fontId="9" fillId="26" borderId="40" xfId="0" applyFont="1" applyFill="1" applyBorder="1" applyAlignment="1">
      <alignment horizontal="left" vertical="center" textRotation="90" wrapText="1"/>
    </xf>
    <xf numFmtId="0" fontId="9" fillId="26" borderId="23" xfId="0" applyFont="1" applyFill="1" applyBorder="1" applyAlignment="1">
      <alignment horizontal="left" vertical="center" textRotation="90" wrapText="1"/>
    </xf>
    <xf numFmtId="0" fontId="9" fillId="26" borderId="41" xfId="0" applyFont="1" applyFill="1" applyBorder="1" applyAlignment="1">
      <alignment horizontal="left" vertical="center" textRotation="90" wrapText="1"/>
    </xf>
    <xf numFmtId="0" fontId="9" fillId="26" borderId="39" xfId="0" applyFont="1" applyFill="1" applyBorder="1" applyAlignment="1">
      <alignment horizontal="left" vertical="center" textRotation="90" wrapText="1"/>
    </xf>
    <xf numFmtId="0" fontId="9" fillId="26" borderId="20" xfId="0" applyFont="1" applyFill="1" applyBorder="1" applyAlignment="1">
      <alignment horizontal="left" vertical="center" textRotation="90" wrapText="1"/>
    </xf>
    <xf numFmtId="0" fontId="9" fillId="26" borderId="21" xfId="0" applyFont="1" applyFill="1" applyBorder="1" applyAlignment="1">
      <alignment horizontal="left" vertical="center" textRotation="90" wrapText="1"/>
    </xf>
    <xf numFmtId="0" fontId="0" fillId="25" borderId="22" xfId="0" applyFill="1" applyBorder="1" applyAlignment="1">
      <alignment horizontal="center"/>
    </xf>
    <xf numFmtId="0" fontId="0" fillId="25" borderId="23" xfId="0" applyFill="1" applyBorder="1" applyAlignment="1">
      <alignment horizontal="center"/>
    </xf>
    <xf numFmtId="0" fontId="0" fillId="25" borderId="0" xfId="0" applyFill="1" applyAlignment="1">
      <alignment horizontal="center"/>
    </xf>
    <xf numFmtId="0" fontId="0" fillId="25" borderId="39" xfId="0" applyFill="1" applyBorder="1" applyAlignment="1">
      <alignment horizontal="center"/>
    </xf>
    <xf numFmtId="0" fontId="9" fillId="14" borderId="34" xfId="0" applyFont="1" applyFill="1" applyBorder="1" applyAlignment="1">
      <alignment horizontal="center" wrapText="1"/>
    </xf>
    <xf numFmtId="0" fontId="9" fillId="14" borderId="35" xfId="0" applyFont="1" applyFill="1" applyBorder="1" applyAlignment="1">
      <alignment horizontal="center" wrapText="1"/>
    </xf>
    <xf numFmtId="0" fontId="9" fillId="14" borderId="36" xfId="0" applyFont="1" applyFill="1" applyBorder="1" applyAlignment="1">
      <alignment horizontal="center" wrapText="1"/>
    </xf>
    <xf numFmtId="0" fontId="9" fillId="14" borderId="37" xfId="0" applyFont="1" applyFill="1" applyBorder="1" applyAlignment="1">
      <alignment horizontal="center" wrapText="1"/>
    </xf>
    <xf numFmtId="0" fontId="9" fillId="14" borderId="38" xfId="0" applyFont="1" applyFill="1" applyBorder="1" applyAlignment="1">
      <alignment horizontal="center" wrapText="1"/>
    </xf>
    <xf numFmtId="0" fontId="9" fillId="14" borderId="11" xfId="0" applyFont="1" applyFill="1" applyBorder="1" applyAlignment="1">
      <alignment horizontal="center" wrapText="1"/>
    </xf>
    <xf numFmtId="0" fontId="20" fillId="0" borderId="0" xfId="0" applyFont="1" applyAlignment="1">
      <alignment horizontal="center"/>
    </xf>
    <xf numFmtId="0" fontId="20" fillId="0" borderId="39" xfId="0" applyFont="1" applyBorder="1" applyAlignment="1">
      <alignment horizontal="center"/>
    </xf>
    <xf numFmtId="0" fontId="0" fillId="25" borderId="25" xfId="0" applyFill="1" applyBorder="1" applyAlignment="1">
      <alignment horizontal="center"/>
    </xf>
    <xf numFmtId="0" fontId="0" fillId="25" borderId="21" xfId="0" applyFill="1" applyBorder="1" applyAlignment="1">
      <alignment horizontal="center"/>
    </xf>
    <xf numFmtId="0" fontId="10" fillId="15" borderId="12" xfId="0" applyFont="1" applyFill="1" applyBorder="1" applyAlignment="1">
      <alignment horizontal="center" vertical="center" wrapText="1"/>
    </xf>
    <xf numFmtId="0" fontId="10" fillId="15" borderId="24" xfId="0" applyFont="1" applyFill="1" applyBorder="1" applyAlignment="1">
      <alignment horizontal="center" vertical="center" wrapText="1"/>
    </xf>
    <xf numFmtId="0" fontId="10" fillId="16" borderId="12" xfId="0" applyFont="1" applyFill="1" applyBorder="1" applyAlignment="1">
      <alignment horizontal="center" vertical="center" wrapText="1"/>
    </xf>
    <xf numFmtId="0" fontId="10" fillId="16" borderId="24" xfId="0" applyFont="1" applyFill="1" applyBorder="1" applyAlignment="1">
      <alignment horizontal="center" vertical="center" wrapText="1"/>
    </xf>
    <xf numFmtId="0" fontId="10" fillId="17" borderId="12" xfId="0" applyFont="1" applyFill="1" applyBorder="1" applyAlignment="1">
      <alignment horizontal="center" vertical="center" wrapText="1"/>
    </xf>
    <xf numFmtId="0" fontId="10" fillId="17" borderId="24" xfId="0" applyFont="1" applyFill="1" applyBorder="1" applyAlignment="1">
      <alignment horizontal="center" vertical="center" wrapText="1"/>
    </xf>
    <xf numFmtId="0" fontId="10" fillId="18" borderId="12" xfId="0" applyFont="1" applyFill="1" applyBorder="1" applyAlignment="1">
      <alignment horizontal="center" vertical="center" wrapText="1"/>
    </xf>
    <xf numFmtId="0" fontId="10" fillId="18" borderId="24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12" fillId="9" borderId="2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8" borderId="40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1" fillId="32" borderId="12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2" fillId="25" borderId="33" xfId="0" applyFont="1" applyFill="1" applyBorder="1" applyAlignment="1">
      <alignment horizontal="left" wrapText="1"/>
    </xf>
    <xf numFmtId="0" fontId="12" fillId="25" borderId="0" xfId="0" applyFont="1" applyFill="1" applyAlignment="1">
      <alignment horizontal="left" wrapText="1"/>
    </xf>
    <xf numFmtId="0" fontId="12" fillId="25" borderId="15" xfId="0" applyFont="1" applyFill="1" applyBorder="1" applyAlignment="1">
      <alignment horizontal="left" wrapText="1"/>
    </xf>
    <xf numFmtId="0" fontId="12" fillId="25" borderId="6" xfId="0" applyFont="1" applyFill="1" applyBorder="1" applyAlignment="1">
      <alignment horizontal="left" wrapText="1"/>
    </xf>
    <xf numFmtId="0" fontId="12" fillId="25" borderId="5" xfId="0" applyFont="1" applyFill="1" applyBorder="1" applyAlignment="1">
      <alignment horizontal="left" wrapText="1"/>
    </xf>
    <xf numFmtId="0" fontId="12" fillId="25" borderId="16" xfId="0" applyFont="1" applyFill="1" applyBorder="1" applyAlignment="1">
      <alignment horizontal="left" wrapText="1"/>
    </xf>
    <xf numFmtId="0" fontId="24" fillId="25" borderId="13" xfId="0" applyFont="1" applyFill="1" applyBorder="1" applyAlignment="1">
      <alignment horizontal="left"/>
    </xf>
    <xf numFmtId="0" fontId="24" fillId="25" borderId="18" xfId="0" applyFont="1" applyFill="1" applyBorder="1" applyAlignment="1">
      <alignment horizontal="left"/>
    </xf>
    <xf numFmtId="0" fontId="24" fillId="25" borderId="14" xfId="0" applyFont="1" applyFill="1" applyBorder="1" applyAlignment="1">
      <alignment horizontal="left"/>
    </xf>
  </cellXfs>
  <cellStyles count="5">
    <cellStyle name="Normal" xfId="0" builtinId="0"/>
    <cellStyle name="Normal 2" xfId="2" xr:uid="{00000000-0005-0000-0000-000001000000}"/>
    <cellStyle name="Normal 2 2" xfId="4" xr:uid="{00000000-0005-0000-0000-000002000000}"/>
    <cellStyle name="Normal 3" xfId="1" xr:uid="{00000000-0005-0000-0000-000003000000}"/>
    <cellStyle name="Percent 2" xfId="3" xr:uid="{00000000-0005-0000-0000-000004000000}"/>
  </cellStyles>
  <dxfs count="20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99FF"/>
      <color rgb="FF9966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152399</xdr:colOff>
      <xdr:row>5</xdr:row>
      <xdr:rowOff>209548</xdr:rowOff>
    </xdr:from>
    <xdr:to>
      <xdr:col>3</xdr:col>
      <xdr:colOff>390524</xdr:colOff>
      <xdr:row>8</xdr:row>
      <xdr:rowOff>923924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16200000">
          <a:off x="-928689" y="3900486"/>
          <a:ext cx="3943351" cy="238125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7</xdr:col>
      <xdr:colOff>190499</xdr:colOff>
      <xdr:row>9</xdr:row>
      <xdr:rowOff>76200</xdr:rowOff>
    </xdr:from>
    <xdr:to>
      <xdr:col>10</xdr:col>
      <xdr:colOff>1104899</xdr:colOff>
      <xdr:row>9</xdr:row>
      <xdr:rowOff>352425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210299" y="6219825"/>
          <a:ext cx="5057775" cy="276225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152399</xdr:colOff>
      <xdr:row>4</xdr:row>
      <xdr:rowOff>209548</xdr:rowOff>
    </xdr:from>
    <xdr:to>
      <xdr:col>2</xdr:col>
      <xdr:colOff>390524</xdr:colOff>
      <xdr:row>7</xdr:row>
      <xdr:rowOff>923924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 rot="16200000">
          <a:off x="-1185864" y="3890961"/>
          <a:ext cx="3943351" cy="238125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4</xdr:col>
      <xdr:colOff>190499</xdr:colOff>
      <xdr:row>8</xdr:row>
      <xdr:rowOff>76200</xdr:rowOff>
    </xdr:from>
    <xdr:to>
      <xdr:col>7</xdr:col>
      <xdr:colOff>1104899</xdr:colOff>
      <xdr:row>8</xdr:row>
      <xdr:rowOff>352425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953124" y="6210300"/>
          <a:ext cx="5057775" cy="276225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G27"/>
  <sheetViews>
    <sheetView tabSelected="1" topLeftCell="A6" workbookViewId="0">
      <selection activeCell="D19" sqref="D19"/>
    </sheetView>
  </sheetViews>
  <sheetFormatPr defaultRowHeight="15" x14ac:dyDescent="0.25"/>
  <cols>
    <col min="1" max="1" width="2.7109375" customWidth="1"/>
    <col min="2" max="2" width="26.7109375" style="8" customWidth="1"/>
    <col min="3" max="3" width="40.7109375" style="8" customWidth="1"/>
    <col min="4" max="6" width="3.7109375" style="8" customWidth="1"/>
    <col min="7" max="8" width="30.7109375" style="8" customWidth="1"/>
    <col min="9" max="9" width="15.7109375" style="8" customWidth="1"/>
    <col min="10" max="13" width="30.7109375" customWidth="1"/>
    <col min="14" max="16" width="5.7109375" customWidth="1"/>
    <col min="17" max="18" width="14.7109375" customWidth="1"/>
    <col min="19" max="19" width="3.7109375" customWidth="1"/>
    <col min="20" max="21" width="3.7109375" style="7" customWidth="1"/>
    <col min="22" max="22" width="12.7109375" style="7" customWidth="1"/>
    <col min="23" max="23" width="30.7109375" customWidth="1"/>
    <col min="24" max="24" width="13" customWidth="1"/>
    <col min="25" max="25" width="12.7109375" customWidth="1"/>
    <col min="26" max="26" width="12.140625" customWidth="1"/>
    <col min="27" max="27" width="1.85546875" customWidth="1"/>
    <col min="28" max="29" width="14.7109375" customWidth="1"/>
    <col min="30" max="32" width="3.7109375" customWidth="1"/>
    <col min="33" max="33" width="12.7109375" customWidth="1"/>
  </cols>
  <sheetData>
    <row r="1" spans="2:33" ht="12" customHeight="1" x14ac:dyDescent="0.3">
      <c r="C1" s="4"/>
      <c r="D1" s="4"/>
      <c r="E1" s="4"/>
      <c r="F1" s="4"/>
    </row>
    <row r="2" spans="2:33" ht="23.25" x14ac:dyDescent="0.35">
      <c r="B2" s="132" t="s">
        <v>0</v>
      </c>
      <c r="C2" s="132"/>
      <c r="D2" s="132"/>
      <c r="E2" s="132"/>
      <c r="F2" s="132"/>
      <c r="G2" s="132"/>
      <c r="H2" s="132"/>
      <c r="I2" s="132"/>
    </row>
    <row r="3" spans="2:33" ht="15.75" x14ac:dyDescent="0.25">
      <c r="B3" s="136" t="s">
        <v>1</v>
      </c>
      <c r="C3" s="136"/>
      <c r="D3" s="133"/>
      <c r="E3" s="133"/>
      <c r="F3" s="133"/>
      <c r="G3" s="133"/>
      <c r="H3" s="133"/>
      <c r="I3" s="133"/>
    </row>
    <row r="4" spans="2:33" ht="15.75" x14ac:dyDescent="0.25">
      <c r="B4" s="136" t="s">
        <v>2</v>
      </c>
      <c r="C4" s="136"/>
      <c r="D4" s="140"/>
      <c r="E4" s="141"/>
      <c r="F4" s="141"/>
      <c r="G4" s="141"/>
      <c r="H4" s="141"/>
      <c r="I4" s="142"/>
    </row>
    <row r="5" spans="2:33" ht="15.75" x14ac:dyDescent="0.25">
      <c r="B5" s="136" t="s">
        <v>3</v>
      </c>
      <c r="C5" s="136"/>
      <c r="D5" s="133"/>
      <c r="E5" s="133"/>
      <c r="F5" s="133"/>
      <c r="G5" s="133"/>
      <c r="H5" s="133"/>
      <c r="I5" s="133"/>
    </row>
    <row r="6" spans="2:33" ht="15.75" x14ac:dyDescent="0.25">
      <c r="B6" s="136" t="s">
        <v>4</v>
      </c>
      <c r="C6" s="136"/>
      <c r="D6" s="133"/>
      <c r="E6" s="133"/>
      <c r="F6" s="133"/>
      <c r="G6" s="133"/>
      <c r="H6" s="133"/>
      <c r="I6" s="133"/>
    </row>
    <row r="7" spans="2:33" ht="15.75" x14ac:dyDescent="0.25">
      <c r="B7" s="136" t="s">
        <v>5</v>
      </c>
      <c r="C7" s="136"/>
      <c r="D7" s="133"/>
      <c r="E7" s="133"/>
      <c r="F7" s="133"/>
      <c r="G7" s="133"/>
      <c r="H7" s="133"/>
      <c r="I7" s="133"/>
    </row>
    <row r="8" spans="2:33" s="3" customFormat="1" ht="18.75" customHeight="1" x14ac:dyDescent="0.3">
      <c r="B8" s="137" t="s">
        <v>6</v>
      </c>
      <c r="C8" s="138"/>
      <c r="D8" s="138"/>
      <c r="E8" s="138"/>
      <c r="F8" s="138"/>
      <c r="G8" s="138"/>
      <c r="H8" s="138"/>
      <c r="I8" s="139"/>
      <c r="J8" s="84" t="s">
        <v>7</v>
      </c>
      <c r="K8" s="85"/>
      <c r="L8" s="86"/>
      <c r="M8" s="25" t="s">
        <v>8</v>
      </c>
      <c r="N8" s="115" t="s">
        <v>9</v>
      </c>
      <c r="O8" s="116"/>
      <c r="P8" s="117"/>
      <c r="Q8" s="112" t="s">
        <v>10</v>
      </c>
      <c r="R8" s="113"/>
      <c r="S8" s="113"/>
      <c r="T8" s="113"/>
      <c r="U8" s="113"/>
      <c r="V8" s="114"/>
      <c r="W8" s="84" t="s">
        <v>11</v>
      </c>
      <c r="X8" s="85"/>
      <c r="Y8" s="85"/>
      <c r="Z8" s="86"/>
      <c r="AA8" s="27"/>
      <c r="AB8" s="112" t="s">
        <v>12</v>
      </c>
      <c r="AC8" s="113"/>
      <c r="AD8" s="113"/>
      <c r="AE8" s="113"/>
      <c r="AF8" s="113"/>
      <c r="AG8" s="113"/>
    </row>
    <row r="9" spans="2:33" s="13" customFormat="1" ht="15.75" customHeight="1" x14ac:dyDescent="0.25">
      <c r="B9" s="100" t="s">
        <v>13</v>
      </c>
      <c r="C9" s="101"/>
      <c r="D9" s="101"/>
      <c r="E9" s="101"/>
      <c r="F9" s="102"/>
      <c r="G9" s="52" t="s">
        <v>14</v>
      </c>
      <c r="H9" s="14" t="s">
        <v>15</v>
      </c>
      <c r="I9" s="106" t="s">
        <v>16</v>
      </c>
      <c r="J9" s="109" t="s">
        <v>17</v>
      </c>
      <c r="K9" s="109" t="s">
        <v>18</v>
      </c>
      <c r="L9" s="109" t="s">
        <v>19</v>
      </c>
      <c r="M9" s="103" t="s">
        <v>20</v>
      </c>
      <c r="N9" s="126" t="s">
        <v>21</v>
      </c>
      <c r="O9" s="127"/>
      <c r="P9" s="128"/>
      <c r="Q9" s="96" t="s">
        <v>22</v>
      </c>
      <c r="R9" s="96" t="s">
        <v>23</v>
      </c>
      <c r="S9" s="118" t="s">
        <v>24</v>
      </c>
      <c r="T9" s="88" t="s">
        <v>25</v>
      </c>
      <c r="U9" s="88" t="s">
        <v>26</v>
      </c>
      <c r="V9" s="91" t="s">
        <v>27</v>
      </c>
      <c r="W9" s="121" t="s">
        <v>28</v>
      </c>
      <c r="X9" s="121" t="s">
        <v>29</v>
      </c>
      <c r="Y9" s="121" t="s">
        <v>30</v>
      </c>
      <c r="Z9" s="121" t="s">
        <v>31</v>
      </c>
      <c r="AA9" s="28"/>
      <c r="AB9" s="96" t="s">
        <v>32</v>
      </c>
      <c r="AC9" s="96" t="s">
        <v>33</v>
      </c>
      <c r="AD9" s="118" t="s">
        <v>24</v>
      </c>
      <c r="AE9" s="88" t="s">
        <v>25</v>
      </c>
      <c r="AF9" s="88" t="s">
        <v>26</v>
      </c>
      <c r="AG9" s="91" t="s">
        <v>34</v>
      </c>
    </row>
    <row r="10" spans="2:33" ht="15" customHeight="1" x14ac:dyDescent="0.25">
      <c r="B10" s="87" t="s">
        <v>35</v>
      </c>
      <c r="C10" s="95" t="s">
        <v>36</v>
      </c>
      <c r="D10" s="99" t="s">
        <v>37</v>
      </c>
      <c r="E10" s="99"/>
      <c r="F10" s="99"/>
      <c r="G10" s="94" t="s">
        <v>38</v>
      </c>
      <c r="H10" s="134" t="s">
        <v>39</v>
      </c>
      <c r="I10" s="107"/>
      <c r="J10" s="110"/>
      <c r="K10" s="110"/>
      <c r="L10" s="110"/>
      <c r="M10" s="104"/>
      <c r="N10" s="129"/>
      <c r="O10" s="130"/>
      <c r="P10" s="131"/>
      <c r="Q10" s="97"/>
      <c r="R10" s="97"/>
      <c r="S10" s="119"/>
      <c r="T10" s="89"/>
      <c r="U10" s="89"/>
      <c r="V10" s="92"/>
      <c r="W10" s="122"/>
      <c r="X10" s="124"/>
      <c r="Y10" s="124"/>
      <c r="Z10" s="124"/>
      <c r="AA10" s="29"/>
      <c r="AB10" s="97"/>
      <c r="AC10" s="97"/>
      <c r="AD10" s="119"/>
      <c r="AE10" s="89"/>
      <c r="AF10" s="89"/>
      <c r="AG10" s="92"/>
    </row>
    <row r="11" spans="2:33" s="5" customFormat="1" ht="63.75" customHeight="1" x14ac:dyDescent="0.25">
      <c r="B11" s="87"/>
      <c r="C11" s="95"/>
      <c r="D11" s="75" t="s">
        <v>40</v>
      </c>
      <c r="E11" s="75" t="s">
        <v>41</v>
      </c>
      <c r="F11" s="75" t="s">
        <v>42</v>
      </c>
      <c r="G11" s="94"/>
      <c r="H11" s="135"/>
      <c r="I11" s="108"/>
      <c r="J11" s="111"/>
      <c r="K11" s="111"/>
      <c r="L11" s="111"/>
      <c r="M11" s="105"/>
      <c r="N11" s="74" t="s">
        <v>43</v>
      </c>
      <c r="O11" s="74" t="s">
        <v>44</v>
      </c>
      <c r="P11" s="74" t="s">
        <v>45</v>
      </c>
      <c r="Q11" s="98"/>
      <c r="R11" s="98"/>
      <c r="S11" s="120"/>
      <c r="T11" s="90"/>
      <c r="U11" s="90"/>
      <c r="V11" s="93"/>
      <c r="W11" s="123"/>
      <c r="X11" s="125"/>
      <c r="Y11" s="125"/>
      <c r="Z11" s="125"/>
      <c r="AA11" s="30"/>
      <c r="AB11" s="98"/>
      <c r="AC11" s="98"/>
      <c r="AD11" s="120"/>
      <c r="AE11" s="90"/>
      <c r="AF11" s="90"/>
      <c r="AG11" s="93"/>
    </row>
    <row r="12" spans="2:33" s="21" customFormat="1" ht="30" customHeight="1" x14ac:dyDescent="0.25">
      <c r="B12" s="66"/>
      <c r="C12" s="66"/>
      <c r="D12" s="67"/>
      <c r="E12" s="67"/>
      <c r="F12" s="67"/>
      <c r="G12" s="66"/>
      <c r="H12" s="66"/>
      <c r="I12" s="68"/>
      <c r="J12" s="66"/>
      <c r="K12" s="66"/>
      <c r="L12" s="66"/>
      <c r="M12" s="66"/>
      <c r="N12" s="67"/>
      <c r="O12" s="67"/>
      <c r="P12" s="67"/>
      <c r="Q12" s="67"/>
      <c r="R12" s="67"/>
      <c r="S12" s="69" t="e">
        <f>VLOOKUP(Q12,'Drop Down Lists'!$B$2:$C$7,2,)</f>
        <v>#N/A</v>
      </c>
      <c r="T12" s="69" t="e">
        <f>VLOOKUP(R12,'Drop Down Lists'!$B$9:$C$14,2,)</f>
        <v>#N/A</v>
      </c>
      <c r="U12" s="69" t="e">
        <f>S12*T12</f>
        <v>#N/A</v>
      </c>
      <c r="V12" s="70" t="e">
        <f>VLOOKUP(U12,'Drop Down Lists'!$E$2:$F$19,2,FALSE)</f>
        <v>#N/A</v>
      </c>
      <c r="W12" s="71"/>
      <c r="X12" s="68"/>
      <c r="Y12" s="68"/>
      <c r="Z12" s="68"/>
      <c r="AA12" s="72"/>
      <c r="AB12" s="67"/>
      <c r="AC12" s="67"/>
      <c r="AD12" s="69" t="e">
        <f>VLOOKUP(AB12,'Drop Down Lists'!$B$2:$C$7,2,)</f>
        <v>#N/A</v>
      </c>
      <c r="AE12" s="69" t="e">
        <f>VLOOKUP(AC12,'Drop Down Lists'!$B$9:$C$14,2,)</f>
        <v>#N/A</v>
      </c>
      <c r="AF12" s="69" t="e">
        <f>AD12*AE12</f>
        <v>#N/A</v>
      </c>
      <c r="AG12" s="70" t="e">
        <f>VLOOKUP(AF12,'Drop Down Lists'!$E$2:$F$19,2,FALSE)</f>
        <v>#N/A</v>
      </c>
    </row>
    <row r="13" spans="2:33" s="21" customFormat="1" ht="30" customHeight="1" x14ac:dyDescent="0.25">
      <c r="B13" s="66"/>
      <c r="C13" s="66"/>
      <c r="D13" s="67"/>
      <c r="E13" s="67"/>
      <c r="F13" s="67"/>
      <c r="G13" s="66"/>
      <c r="H13" s="66"/>
      <c r="I13" s="68"/>
      <c r="J13" s="66"/>
      <c r="K13" s="66"/>
      <c r="L13" s="66"/>
      <c r="M13" s="66"/>
      <c r="N13" s="67"/>
      <c r="O13" s="67"/>
      <c r="P13" s="67"/>
      <c r="Q13" s="67"/>
      <c r="R13" s="67"/>
      <c r="S13" s="69" t="e">
        <f>VLOOKUP(Q13,'Drop Down Lists'!$B$2:$C$7,2,)</f>
        <v>#N/A</v>
      </c>
      <c r="T13" s="69" t="e">
        <f>VLOOKUP(R13,'Drop Down Lists'!$B$9:$C$14,2,)</f>
        <v>#N/A</v>
      </c>
      <c r="U13" s="69" t="e">
        <f t="shared" ref="U13:U21" si="0">S13*T13</f>
        <v>#N/A</v>
      </c>
      <c r="V13" s="70" t="e">
        <f>VLOOKUP(U13,'Drop Down Lists'!$E$2:$F$19,2,FALSE)</f>
        <v>#N/A</v>
      </c>
      <c r="W13" s="71"/>
      <c r="X13" s="68"/>
      <c r="Y13" s="68"/>
      <c r="Z13" s="68"/>
      <c r="AA13" s="72"/>
      <c r="AB13" s="67"/>
      <c r="AC13" s="67"/>
      <c r="AD13" s="69" t="e">
        <f>VLOOKUP(AB13,'Drop Down Lists'!$B$2:$C$7,2,)</f>
        <v>#N/A</v>
      </c>
      <c r="AE13" s="69" t="e">
        <f>VLOOKUP(AC13,'Drop Down Lists'!$B$9:$C$14,2,)</f>
        <v>#N/A</v>
      </c>
      <c r="AF13" s="69" t="e">
        <f t="shared" ref="AF13:AF21" si="1">AD13*AE13</f>
        <v>#N/A</v>
      </c>
      <c r="AG13" s="70" t="e">
        <f>VLOOKUP(AF13,'Drop Down Lists'!$E$2:$F$19,2,FALSE)</f>
        <v>#N/A</v>
      </c>
    </row>
    <row r="14" spans="2:33" s="21" customFormat="1" ht="30" customHeight="1" x14ac:dyDescent="0.25">
      <c r="B14" s="66"/>
      <c r="C14" s="66"/>
      <c r="D14" s="67"/>
      <c r="E14" s="67"/>
      <c r="F14" s="67"/>
      <c r="G14" s="66"/>
      <c r="H14" s="66"/>
      <c r="I14" s="68"/>
      <c r="J14" s="66"/>
      <c r="K14" s="66"/>
      <c r="L14" s="66"/>
      <c r="M14" s="66"/>
      <c r="N14" s="67"/>
      <c r="O14" s="67"/>
      <c r="P14" s="67"/>
      <c r="Q14" s="67"/>
      <c r="R14" s="67"/>
      <c r="S14" s="69" t="e">
        <f>VLOOKUP(Q14,'Drop Down Lists'!$B$2:$C$7,2,)</f>
        <v>#N/A</v>
      </c>
      <c r="T14" s="69" t="e">
        <f>VLOOKUP(R14,'Drop Down Lists'!$B$9:$C$14,2,)</f>
        <v>#N/A</v>
      </c>
      <c r="U14" s="69" t="e">
        <f t="shared" si="0"/>
        <v>#N/A</v>
      </c>
      <c r="V14" s="70" t="e">
        <f>VLOOKUP(U14,'Drop Down Lists'!$E$2:$F$19,2,FALSE)</f>
        <v>#N/A</v>
      </c>
      <c r="W14" s="71"/>
      <c r="X14" s="68"/>
      <c r="Y14" s="68"/>
      <c r="Z14" s="68"/>
      <c r="AA14" s="72"/>
      <c r="AB14" s="67"/>
      <c r="AC14" s="67"/>
      <c r="AD14" s="69" t="e">
        <f>VLOOKUP(AB14,'Drop Down Lists'!$B$2:$C$7,2,)</f>
        <v>#N/A</v>
      </c>
      <c r="AE14" s="69" t="e">
        <f>VLOOKUP(AC14,'Drop Down Lists'!$B$9:$C$14,2,)</f>
        <v>#N/A</v>
      </c>
      <c r="AF14" s="69" t="e">
        <f t="shared" si="1"/>
        <v>#N/A</v>
      </c>
      <c r="AG14" s="70" t="e">
        <f>VLOOKUP(AF14,'Drop Down Lists'!$E$2:$F$19,2,FALSE)</f>
        <v>#N/A</v>
      </c>
    </row>
    <row r="15" spans="2:33" s="21" customFormat="1" ht="30" customHeight="1" x14ac:dyDescent="0.25">
      <c r="B15" s="66"/>
      <c r="C15" s="66"/>
      <c r="D15" s="67"/>
      <c r="E15" s="67"/>
      <c r="F15" s="67"/>
      <c r="G15" s="66"/>
      <c r="H15" s="66"/>
      <c r="I15" s="68"/>
      <c r="J15" s="66"/>
      <c r="K15" s="66"/>
      <c r="L15" s="66"/>
      <c r="M15" s="66"/>
      <c r="N15" s="67"/>
      <c r="O15" s="67"/>
      <c r="P15" s="67"/>
      <c r="Q15" s="67"/>
      <c r="R15" s="67"/>
      <c r="S15" s="69" t="e">
        <f>VLOOKUP(Q15,'Drop Down Lists'!$B$2:$C$7,2,)</f>
        <v>#N/A</v>
      </c>
      <c r="T15" s="69" t="e">
        <f>VLOOKUP(R15,'Drop Down Lists'!$B$9:$C$14,2,)</f>
        <v>#N/A</v>
      </c>
      <c r="U15" s="69" t="e">
        <f t="shared" si="0"/>
        <v>#N/A</v>
      </c>
      <c r="V15" s="70" t="e">
        <f>VLOOKUP(U15,'Drop Down Lists'!$E$2:$F$19,2,FALSE)</f>
        <v>#N/A</v>
      </c>
      <c r="W15" s="71"/>
      <c r="X15" s="68"/>
      <c r="Y15" s="68"/>
      <c r="Z15" s="68"/>
      <c r="AA15" s="72"/>
      <c r="AB15" s="67"/>
      <c r="AC15" s="67"/>
      <c r="AD15" s="69" t="e">
        <f>VLOOKUP(AB15,'Drop Down Lists'!$B$2:$C$7,2,)</f>
        <v>#N/A</v>
      </c>
      <c r="AE15" s="69" t="e">
        <f>VLOOKUP(AC15,'Drop Down Lists'!$B$9:$C$14,2,)</f>
        <v>#N/A</v>
      </c>
      <c r="AF15" s="69" t="e">
        <f t="shared" si="1"/>
        <v>#N/A</v>
      </c>
      <c r="AG15" s="70" t="e">
        <f>VLOOKUP(AF15,'Drop Down Lists'!$E$2:$F$19,2,FALSE)</f>
        <v>#N/A</v>
      </c>
    </row>
    <row r="16" spans="2:33" s="21" customFormat="1" ht="30" customHeight="1" x14ac:dyDescent="0.25">
      <c r="B16" s="66"/>
      <c r="C16" s="66"/>
      <c r="D16" s="67"/>
      <c r="E16" s="67"/>
      <c r="F16" s="67"/>
      <c r="G16" s="66"/>
      <c r="H16" s="66"/>
      <c r="I16" s="68"/>
      <c r="J16" s="66"/>
      <c r="K16" s="66"/>
      <c r="L16" s="66"/>
      <c r="M16" s="66"/>
      <c r="N16" s="67"/>
      <c r="O16" s="67"/>
      <c r="P16" s="67"/>
      <c r="Q16" s="67"/>
      <c r="R16" s="67"/>
      <c r="S16" s="69" t="e">
        <f>VLOOKUP(Q16,'Drop Down Lists'!$B$2:$C$7,2,)</f>
        <v>#N/A</v>
      </c>
      <c r="T16" s="69" t="e">
        <f>VLOOKUP(R16,'Drop Down Lists'!$B$9:$C$14,2,)</f>
        <v>#N/A</v>
      </c>
      <c r="U16" s="69" t="e">
        <f t="shared" si="0"/>
        <v>#N/A</v>
      </c>
      <c r="V16" s="70" t="e">
        <f>VLOOKUP(U16,'Drop Down Lists'!$E$2:$F$19,2,FALSE)</f>
        <v>#N/A</v>
      </c>
      <c r="W16" s="71"/>
      <c r="X16" s="68"/>
      <c r="Y16" s="68"/>
      <c r="Z16" s="68"/>
      <c r="AA16" s="72"/>
      <c r="AB16" s="67"/>
      <c r="AC16" s="67"/>
      <c r="AD16" s="69" t="e">
        <f>VLOOKUP(AB16,'Drop Down Lists'!$B$2:$C$7,2,)</f>
        <v>#N/A</v>
      </c>
      <c r="AE16" s="69" t="e">
        <f>VLOOKUP(AC16,'Drop Down Lists'!$B$9:$C$14,2,)</f>
        <v>#N/A</v>
      </c>
      <c r="AF16" s="69" t="e">
        <f t="shared" si="1"/>
        <v>#N/A</v>
      </c>
      <c r="AG16" s="70" t="e">
        <f>VLOOKUP(AF16,'Drop Down Lists'!$E$2:$F$19,2,FALSE)</f>
        <v>#N/A</v>
      </c>
    </row>
    <row r="17" spans="2:33" s="21" customFormat="1" ht="30" customHeight="1" x14ac:dyDescent="0.25">
      <c r="B17" s="66"/>
      <c r="C17" s="66"/>
      <c r="D17" s="67"/>
      <c r="E17" s="67"/>
      <c r="F17" s="67"/>
      <c r="G17" s="66"/>
      <c r="H17" s="66"/>
      <c r="I17" s="68"/>
      <c r="J17" s="66"/>
      <c r="K17" s="66"/>
      <c r="L17" s="66"/>
      <c r="M17" s="66"/>
      <c r="N17" s="67"/>
      <c r="O17" s="67"/>
      <c r="P17" s="67"/>
      <c r="Q17" s="67"/>
      <c r="R17" s="67"/>
      <c r="S17" s="69" t="e">
        <f>VLOOKUP(Q17,'Drop Down Lists'!$B$2:$C$7,2,)</f>
        <v>#N/A</v>
      </c>
      <c r="T17" s="69" t="e">
        <f>VLOOKUP(R17,'Drop Down Lists'!$B$9:$C$14,2,)</f>
        <v>#N/A</v>
      </c>
      <c r="U17" s="69" t="e">
        <f t="shared" si="0"/>
        <v>#N/A</v>
      </c>
      <c r="V17" s="70" t="e">
        <f>VLOOKUP(U17,'Drop Down Lists'!$E$2:$F$19,2,FALSE)</f>
        <v>#N/A</v>
      </c>
      <c r="W17" s="71"/>
      <c r="X17" s="68"/>
      <c r="Y17" s="68"/>
      <c r="Z17" s="68"/>
      <c r="AA17" s="72"/>
      <c r="AB17" s="67"/>
      <c r="AC17" s="67"/>
      <c r="AD17" s="69" t="e">
        <f>VLOOKUP(AB17,'Drop Down Lists'!$B$2:$C$7,2,)</f>
        <v>#N/A</v>
      </c>
      <c r="AE17" s="69" t="e">
        <f>VLOOKUP(AC17,'Drop Down Lists'!$B$9:$C$14,2,)</f>
        <v>#N/A</v>
      </c>
      <c r="AF17" s="69" t="e">
        <f t="shared" si="1"/>
        <v>#N/A</v>
      </c>
      <c r="AG17" s="70" t="e">
        <f>VLOOKUP(AF17,'Drop Down Lists'!$E$2:$F$19,2,FALSE)</f>
        <v>#N/A</v>
      </c>
    </row>
    <row r="18" spans="2:33" s="21" customFormat="1" ht="30" customHeight="1" x14ac:dyDescent="0.25">
      <c r="B18" s="66"/>
      <c r="C18" s="66"/>
      <c r="D18" s="67"/>
      <c r="E18" s="67"/>
      <c r="F18" s="67"/>
      <c r="G18" s="66"/>
      <c r="H18" s="66"/>
      <c r="I18" s="68"/>
      <c r="J18" s="66"/>
      <c r="K18" s="66"/>
      <c r="L18" s="66"/>
      <c r="M18" s="66"/>
      <c r="N18" s="67"/>
      <c r="O18" s="67"/>
      <c r="P18" s="67"/>
      <c r="Q18" s="67"/>
      <c r="R18" s="67"/>
      <c r="S18" s="69" t="e">
        <f>VLOOKUP(Q18,'Drop Down Lists'!$B$2:$C$7,2,)</f>
        <v>#N/A</v>
      </c>
      <c r="T18" s="69" t="e">
        <f>VLOOKUP(R18,'Drop Down Lists'!$B$9:$C$14,2,)</f>
        <v>#N/A</v>
      </c>
      <c r="U18" s="69" t="e">
        <f t="shared" si="0"/>
        <v>#N/A</v>
      </c>
      <c r="V18" s="70" t="e">
        <f>VLOOKUP(U18,'Drop Down Lists'!$E$2:$F$19,2,FALSE)</f>
        <v>#N/A</v>
      </c>
      <c r="W18" s="71"/>
      <c r="X18" s="68"/>
      <c r="Y18" s="68"/>
      <c r="Z18" s="68"/>
      <c r="AA18" s="72"/>
      <c r="AB18" s="67"/>
      <c r="AC18" s="67"/>
      <c r="AD18" s="69" t="e">
        <f>VLOOKUP(AB18,'Drop Down Lists'!$B$2:$C$7,2,)</f>
        <v>#N/A</v>
      </c>
      <c r="AE18" s="69" t="e">
        <f>VLOOKUP(AC18,'Drop Down Lists'!$B$9:$C$14,2,)</f>
        <v>#N/A</v>
      </c>
      <c r="AF18" s="69" t="e">
        <f t="shared" si="1"/>
        <v>#N/A</v>
      </c>
      <c r="AG18" s="70" t="e">
        <f>VLOOKUP(AF18,'Drop Down Lists'!$E$2:$F$19,2,FALSE)</f>
        <v>#N/A</v>
      </c>
    </row>
    <row r="19" spans="2:33" s="21" customFormat="1" ht="30" customHeight="1" x14ac:dyDescent="0.25">
      <c r="B19" s="66"/>
      <c r="C19" s="66"/>
      <c r="D19" s="67"/>
      <c r="E19" s="67"/>
      <c r="F19" s="67"/>
      <c r="G19" s="66"/>
      <c r="H19" s="66"/>
      <c r="I19" s="68"/>
      <c r="J19" s="66"/>
      <c r="K19" s="66"/>
      <c r="L19" s="66"/>
      <c r="M19" s="66"/>
      <c r="N19" s="67"/>
      <c r="O19" s="67"/>
      <c r="P19" s="67"/>
      <c r="Q19" s="67"/>
      <c r="R19" s="67"/>
      <c r="S19" s="69" t="e">
        <f>VLOOKUP(Q19,'Drop Down Lists'!$B$2:$C$7,2,)</f>
        <v>#N/A</v>
      </c>
      <c r="T19" s="69" t="e">
        <f>VLOOKUP(R19,'Drop Down Lists'!$B$9:$C$14,2,)</f>
        <v>#N/A</v>
      </c>
      <c r="U19" s="69" t="e">
        <f t="shared" si="0"/>
        <v>#N/A</v>
      </c>
      <c r="V19" s="70" t="e">
        <f>VLOOKUP(U19,'Drop Down Lists'!$E$2:$F$19,2,FALSE)</f>
        <v>#N/A</v>
      </c>
      <c r="W19" s="71"/>
      <c r="X19" s="68"/>
      <c r="Y19" s="68"/>
      <c r="Z19" s="68"/>
      <c r="AA19" s="72"/>
      <c r="AB19" s="67"/>
      <c r="AC19" s="67"/>
      <c r="AD19" s="69" t="e">
        <f>VLOOKUP(AB19,'Drop Down Lists'!$B$2:$C$7,2,)</f>
        <v>#N/A</v>
      </c>
      <c r="AE19" s="69" t="e">
        <f>VLOOKUP(AC19,'Drop Down Lists'!$B$9:$C$14,2,)</f>
        <v>#N/A</v>
      </c>
      <c r="AF19" s="69" t="e">
        <f t="shared" si="1"/>
        <v>#N/A</v>
      </c>
      <c r="AG19" s="70" t="e">
        <f>VLOOKUP(AF19,'Drop Down Lists'!$E$2:$F$19,2,FALSE)</f>
        <v>#N/A</v>
      </c>
    </row>
    <row r="20" spans="2:33" s="21" customFormat="1" ht="30" customHeight="1" x14ac:dyDescent="0.25">
      <c r="B20" s="66"/>
      <c r="C20" s="66"/>
      <c r="D20" s="67"/>
      <c r="E20" s="67"/>
      <c r="F20" s="67"/>
      <c r="G20" s="66"/>
      <c r="H20" s="66"/>
      <c r="I20" s="68"/>
      <c r="J20" s="66"/>
      <c r="K20" s="66"/>
      <c r="L20" s="66"/>
      <c r="M20" s="66"/>
      <c r="N20" s="67"/>
      <c r="O20" s="67"/>
      <c r="P20" s="67"/>
      <c r="Q20" s="67"/>
      <c r="R20" s="67"/>
      <c r="S20" s="69" t="e">
        <f>VLOOKUP(Q20,'Drop Down Lists'!$B$2:$C$7,2,)</f>
        <v>#N/A</v>
      </c>
      <c r="T20" s="69" t="e">
        <f>VLOOKUP(R20,'Drop Down Lists'!$B$9:$C$14,2,)</f>
        <v>#N/A</v>
      </c>
      <c r="U20" s="69" t="e">
        <f t="shared" si="0"/>
        <v>#N/A</v>
      </c>
      <c r="V20" s="70" t="e">
        <f>VLOOKUP(U20,'Drop Down Lists'!$E$2:$F$19,2,FALSE)</f>
        <v>#N/A</v>
      </c>
      <c r="W20" s="71"/>
      <c r="X20" s="68"/>
      <c r="Y20" s="68"/>
      <c r="Z20" s="68"/>
      <c r="AA20" s="72"/>
      <c r="AB20" s="67"/>
      <c r="AC20" s="67"/>
      <c r="AD20" s="69" t="e">
        <f>VLOOKUP(AB20,'Drop Down Lists'!$B$2:$C$7,2,)</f>
        <v>#N/A</v>
      </c>
      <c r="AE20" s="69" t="e">
        <f>VLOOKUP(AC20,'Drop Down Lists'!$B$9:$C$14,2,)</f>
        <v>#N/A</v>
      </c>
      <c r="AF20" s="69" t="e">
        <f t="shared" si="1"/>
        <v>#N/A</v>
      </c>
      <c r="AG20" s="70" t="e">
        <f>VLOOKUP(AF20,'Drop Down Lists'!$E$2:$F$19,2,FALSE)</f>
        <v>#N/A</v>
      </c>
    </row>
    <row r="21" spans="2:33" s="21" customFormat="1" ht="30" customHeight="1" x14ac:dyDescent="0.25">
      <c r="B21" s="66"/>
      <c r="C21" s="66"/>
      <c r="D21" s="67"/>
      <c r="E21" s="67"/>
      <c r="F21" s="67"/>
      <c r="G21" s="66"/>
      <c r="H21" s="66"/>
      <c r="I21" s="68"/>
      <c r="J21" s="66"/>
      <c r="K21" s="66"/>
      <c r="L21" s="66"/>
      <c r="M21" s="66"/>
      <c r="N21" s="67"/>
      <c r="O21" s="67"/>
      <c r="P21" s="67"/>
      <c r="Q21" s="67"/>
      <c r="R21" s="67"/>
      <c r="S21" s="69" t="e">
        <f>VLOOKUP(Q21,'Drop Down Lists'!$B$2:$C$7,2,)</f>
        <v>#N/A</v>
      </c>
      <c r="T21" s="69" t="e">
        <f>VLOOKUP(R21,'Drop Down Lists'!$B$9:$C$14,2,)</f>
        <v>#N/A</v>
      </c>
      <c r="U21" s="69" t="e">
        <f t="shared" si="0"/>
        <v>#N/A</v>
      </c>
      <c r="V21" s="70" t="e">
        <f>VLOOKUP(U21,'Drop Down Lists'!$E$2:$F$19,2,FALSE)</f>
        <v>#N/A</v>
      </c>
      <c r="W21" s="71"/>
      <c r="X21" s="68"/>
      <c r="Y21" s="68"/>
      <c r="Z21" s="68"/>
      <c r="AA21" s="72"/>
      <c r="AB21" s="67"/>
      <c r="AC21" s="67"/>
      <c r="AD21" s="69" t="e">
        <f>VLOOKUP(AB21,'Drop Down Lists'!$B$2:$C$7,2,)</f>
        <v>#N/A</v>
      </c>
      <c r="AE21" s="69" t="e">
        <f>VLOOKUP(AC21,'Drop Down Lists'!$B$9:$C$14,2,)</f>
        <v>#N/A</v>
      </c>
      <c r="AF21" s="69" t="e">
        <f t="shared" si="1"/>
        <v>#N/A</v>
      </c>
      <c r="AG21" s="70" t="e">
        <f>VLOOKUP(AF21,'Drop Down Lists'!$E$2:$F$19,2,FALSE)</f>
        <v>#N/A</v>
      </c>
    </row>
    <row r="22" spans="2:33" x14ac:dyDescent="0.25">
      <c r="S22" s="7"/>
    </row>
    <row r="23" spans="2:33" x14ac:dyDescent="0.25">
      <c r="S23" s="7"/>
    </row>
    <row r="24" spans="2:33" x14ac:dyDescent="0.25">
      <c r="S24" s="7"/>
    </row>
    <row r="25" spans="2:33" x14ac:dyDescent="0.25">
      <c r="S25" s="7"/>
    </row>
    <row r="26" spans="2:33" x14ac:dyDescent="0.25">
      <c r="S26" s="7"/>
    </row>
    <row r="27" spans="2:33" x14ac:dyDescent="0.25">
      <c r="K27" s="8"/>
    </row>
  </sheetData>
  <mergeCells count="45">
    <mergeCell ref="H10:H11"/>
    <mergeCell ref="B6:C6"/>
    <mergeCell ref="B3:C3"/>
    <mergeCell ref="B5:C5"/>
    <mergeCell ref="B7:C7"/>
    <mergeCell ref="B8:I8"/>
    <mergeCell ref="D4:I4"/>
    <mergeCell ref="B4:C4"/>
    <mergeCell ref="B2:I2"/>
    <mergeCell ref="D3:I3"/>
    <mergeCell ref="D5:I5"/>
    <mergeCell ref="D6:I6"/>
    <mergeCell ref="D7:I7"/>
    <mergeCell ref="AB9:AB11"/>
    <mergeCell ref="Q8:V8"/>
    <mergeCell ref="N8:P8"/>
    <mergeCell ref="S9:S11"/>
    <mergeCell ref="AC9:AC11"/>
    <mergeCell ref="AB8:AG8"/>
    <mergeCell ref="W8:Z8"/>
    <mergeCell ref="W9:W11"/>
    <mergeCell ref="X9:X11"/>
    <mergeCell ref="Y9:Y11"/>
    <mergeCell ref="Z9:Z11"/>
    <mergeCell ref="AD9:AD11"/>
    <mergeCell ref="AE9:AE11"/>
    <mergeCell ref="AF9:AF11"/>
    <mergeCell ref="AG9:AG11"/>
    <mergeCell ref="N9:P10"/>
    <mergeCell ref="J8:L8"/>
    <mergeCell ref="B10:B11"/>
    <mergeCell ref="T9:T11"/>
    <mergeCell ref="U9:U11"/>
    <mergeCell ref="V9:V11"/>
    <mergeCell ref="G10:G11"/>
    <mergeCell ref="C10:C11"/>
    <mergeCell ref="Q9:Q11"/>
    <mergeCell ref="R9:R11"/>
    <mergeCell ref="D10:F10"/>
    <mergeCell ref="B9:F9"/>
    <mergeCell ref="M9:M11"/>
    <mergeCell ref="I9:I11"/>
    <mergeCell ref="J9:J11"/>
    <mergeCell ref="K9:K11"/>
    <mergeCell ref="L9:L11"/>
  </mergeCells>
  <pageMargins left="0.7" right="0.7" top="0.75" bottom="0.75" header="0.3" footer="0.3"/>
  <pageSetup paperSize="8" scale="40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" operator="equal" id="{42BBAFE2-347B-47B3-AFC1-0D3E827E0563}">
            <xm:f>'Drop Down Lists'!$F$3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16" operator="equal" id="{2682509F-5B37-424A-A1A1-69CF339932FB}">
            <xm:f>'Drop Down Lists'!$F$4</xm:f>
            <x14:dxf>
              <fill>
                <patternFill>
                  <bgColor theme="9"/>
                </patternFill>
              </fill>
            </x14:dxf>
          </x14:cfRule>
          <x14:cfRule type="cellIs" priority="17" operator="equal" id="{D8152FD3-1D40-4C78-9854-BE4887217D3C}">
            <xm:f>'Drop Down Lists'!$F$15</xm:f>
            <x14:dxf>
              <fill>
                <patternFill>
                  <bgColor rgb="FFFF0000"/>
                </patternFill>
              </fill>
            </x14:dxf>
          </x14:cfRule>
          <x14:cfRule type="cellIs" priority="18" operator="equal" id="{8AB2C95F-53A6-4495-B810-D8823D6A5728}">
            <xm:f>'Drop Down Lists'!$F$9</xm:f>
            <x14:dxf>
              <fill>
                <patternFill>
                  <bgColor rgb="FFFFFF00"/>
                </patternFill>
              </fill>
            </x14:dxf>
          </x14:cfRule>
          <xm:sqref>V12</xm:sqref>
        </x14:conditionalFormatting>
        <x14:conditionalFormatting xmlns:xm="http://schemas.microsoft.com/office/excel/2006/main">
          <x14:cfRule type="cellIs" priority="5" operator="equal" id="{6D4FE8CE-0F39-415A-8033-86DF8D7F522F}">
            <xm:f>'Drop Down Lists'!$F$3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6" operator="equal" id="{8BE04217-3E7A-4B0D-BCA5-637769D76D99}">
            <xm:f>'Drop Down Lists'!$F$4</xm:f>
            <x14:dxf>
              <fill>
                <patternFill>
                  <bgColor theme="9"/>
                </patternFill>
              </fill>
            </x14:dxf>
          </x14:cfRule>
          <x14:cfRule type="cellIs" priority="7" operator="equal" id="{01150E8E-F190-4075-858C-2CFFD04164D6}">
            <xm:f>'Drop Down Lists'!$F$15</xm:f>
            <x14:dxf>
              <fill>
                <patternFill>
                  <bgColor rgb="FFFF0000"/>
                </patternFill>
              </fill>
            </x14:dxf>
          </x14:cfRule>
          <x14:cfRule type="cellIs" priority="8" operator="equal" id="{E644DEC2-0DB1-4AE5-854C-4371D2E0A74B}">
            <xm:f>'Drop Down Lists'!$F$9</xm:f>
            <x14:dxf>
              <fill>
                <patternFill>
                  <bgColor rgb="FFFFFF00"/>
                </patternFill>
              </fill>
            </x14:dxf>
          </x14:cfRule>
          <xm:sqref>V13:V21</xm:sqref>
        </x14:conditionalFormatting>
        <x14:conditionalFormatting xmlns:xm="http://schemas.microsoft.com/office/excel/2006/main">
          <x14:cfRule type="cellIs" priority="1" operator="equal" id="{3CECC243-D2F4-4D76-AB51-F99101F7077B}">
            <xm:f>'Drop Down Lists'!$F$3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" operator="equal" id="{89881ACF-E037-4D90-8685-F0A5F233F95E}">
            <xm:f>'Drop Down Lists'!$F$4</xm:f>
            <x14:dxf>
              <fill>
                <patternFill>
                  <bgColor theme="9"/>
                </patternFill>
              </fill>
            </x14:dxf>
          </x14:cfRule>
          <x14:cfRule type="cellIs" priority="3" operator="equal" id="{D9FDEDDF-E4BB-442C-AD60-068375B8266A}">
            <xm:f>'Drop Down Lists'!$F$15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C60BF051-B1FC-4020-A401-573CE7B3F9B5}">
            <xm:f>'Drop Down Lists'!$F$9</xm:f>
            <x14:dxf>
              <fill>
                <patternFill>
                  <bgColor rgb="FFFFFF00"/>
                </patternFill>
              </fill>
            </x14:dxf>
          </x14:cfRule>
          <xm:sqref>AG12:AG21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'Drop Down Lists'!$B$3:$B$7</xm:f>
          </x14:formula1>
          <xm:sqref>AB12:AB21 Q12:Q21</xm:sqref>
        </x14:dataValidation>
        <x14:dataValidation type="list" allowBlank="1" showInputMessage="1" showErrorMessage="1" xr:uid="{00000000-0002-0000-0000-000001000000}">
          <x14:formula1>
            <xm:f>'Drop Down Lists'!$B$10:$B$14</xm:f>
          </x14:formula1>
          <xm:sqref>AC12:AC21 R12:R21</xm:sqref>
        </x14:dataValidation>
        <x14:dataValidation type="list" allowBlank="1" showInputMessage="1" showErrorMessage="1" xr:uid="{00000000-0002-0000-0000-000002000000}">
          <x14:formula1>
            <xm:f>'Drop Down Lists'!$B$17:$B$18</xm:f>
          </x14:formula1>
          <xm:sqref>D12:F21</xm:sqref>
        </x14:dataValidation>
        <x14:dataValidation type="list" allowBlank="1" showInputMessage="1" showErrorMessage="1" xr:uid="{00000000-0002-0000-0000-000003000000}">
          <x14:formula1>
            <xm:f>'Drop Down Lists'!$B$21:$B$22</xm:f>
          </x14:formula1>
          <xm:sqref>N12:P21</xm:sqref>
        </x14:dataValidation>
        <x14:dataValidation type="list" allowBlank="1" showInputMessage="1" showErrorMessage="1" xr:uid="{00000000-0002-0000-0000-000004000000}">
          <x14:formula1>
            <xm:f>'I&amp;I Cats-r'!$B$3:$B$22</xm:f>
          </x14:formula1>
          <xm:sqref>G12:G21</xm:sqref>
        </x14:dataValidation>
        <x14:dataValidation type="list" allowBlank="1" showInputMessage="1" showErrorMessage="1" xr:uid="{00000000-0002-0000-0000-000005000000}">
          <x14:formula1>
            <xm:f>'Hazard Cats.-r'!$B$3:$B$30</xm:f>
          </x14:formula1>
          <xm:sqref>B12:B21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1"/>
  <sheetViews>
    <sheetView workbookViewId="0">
      <selection activeCell="C13" sqref="C13"/>
    </sheetView>
  </sheetViews>
  <sheetFormatPr defaultRowHeight="15" x14ac:dyDescent="0.25"/>
  <cols>
    <col min="1" max="1" width="2.7109375" customWidth="1"/>
    <col min="2" max="2" width="35.5703125" style="8" customWidth="1"/>
    <col min="3" max="3" width="40.7109375" style="8" customWidth="1"/>
    <col min="4" max="6" width="3.7109375" style="8" customWidth="1"/>
    <col min="7" max="7" width="30.7109375" style="8" customWidth="1"/>
    <col min="8" max="8" width="39.5703125" style="8" customWidth="1"/>
    <col min="9" max="9" width="15.7109375" style="8" customWidth="1"/>
    <col min="10" max="13" width="30.7109375" customWidth="1"/>
    <col min="14" max="16" width="5.7109375" customWidth="1"/>
    <col min="17" max="18" width="14.7109375" customWidth="1"/>
    <col min="19" max="19" width="3.7109375" customWidth="1"/>
    <col min="20" max="21" width="3.7109375" style="7" customWidth="1"/>
    <col min="22" max="22" width="12.7109375" style="7" customWidth="1"/>
    <col min="23" max="23" width="41.28515625" customWidth="1"/>
    <col min="24" max="24" width="13" customWidth="1"/>
    <col min="25" max="25" width="12.7109375" customWidth="1"/>
    <col min="26" max="26" width="12.140625" customWidth="1"/>
    <col min="27" max="27" width="1.85546875" customWidth="1"/>
    <col min="28" max="29" width="14.7109375" customWidth="1"/>
    <col min="30" max="32" width="3.7109375" customWidth="1"/>
    <col min="33" max="33" width="12.7109375" customWidth="1"/>
  </cols>
  <sheetData>
    <row r="1" spans="2:33" ht="18.75" x14ac:dyDescent="0.3">
      <c r="C1" s="4"/>
      <c r="D1" s="4"/>
      <c r="E1" s="4"/>
      <c r="F1" s="4"/>
    </row>
    <row r="2" spans="2:33" ht="23.25" x14ac:dyDescent="0.35">
      <c r="B2" s="144" t="s">
        <v>0</v>
      </c>
      <c r="C2" s="144"/>
      <c r="D2" s="144"/>
      <c r="E2" s="144"/>
      <c r="F2" s="144"/>
      <c r="G2" s="144"/>
      <c r="H2" s="144"/>
      <c r="I2" s="76"/>
    </row>
    <row r="3" spans="2:33" ht="15.75" x14ac:dyDescent="0.25">
      <c r="B3" s="136" t="s">
        <v>2</v>
      </c>
      <c r="C3" s="136"/>
      <c r="D3" s="143" t="s">
        <v>46</v>
      </c>
      <c r="E3" s="143"/>
      <c r="F3" s="143"/>
      <c r="G3" s="143"/>
      <c r="H3" s="143"/>
      <c r="I3" s="26"/>
    </row>
    <row r="4" spans="2:33" ht="15.75" x14ac:dyDescent="0.25">
      <c r="B4" s="136" t="s">
        <v>3</v>
      </c>
      <c r="C4" s="136"/>
      <c r="D4" s="143" t="s">
        <v>47</v>
      </c>
      <c r="E4" s="143"/>
      <c r="F4" s="143"/>
      <c r="G4" s="143"/>
      <c r="H4" s="143"/>
      <c r="I4" s="26"/>
    </row>
    <row r="5" spans="2:33" ht="15.75" x14ac:dyDescent="0.25">
      <c r="B5" s="136" t="s">
        <v>4</v>
      </c>
      <c r="C5" s="136"/>
      <c r="D5" s="143" t="s">
        <v>48</v>
      </c>
      <c r="E5" s="143"/>
      <c r="F5" s="143"/>
      <c r="G5" s="143"/>
      <c r="H5" s="143"/>
      <c r="I5" s="26"/>
    </row>
    <row r="6" spans="2:33" ht="15.75" x14ac:dyDescent="0.25">
      <c r="B6" s="136" t="s">
        <v>5</v>
      </c>
      <c r="C6" s="136"/>
      <c r="D6" s="143" t="s">
        <v>49</v>
      </c>
      <c r="E6" s="143"/>
      <c r="F6" s="143"/>
      <c r="G6" s="143"/>
      <c r="H6" s="143"/>
      <c r="I6" s="26"/>
    </row>
    <row r="7" spans="2:33" s="3" customFormat="1" ht="18.75" customHeight="1" x14ac:dyDescent="0.3">
      <c r="B7" s="23" t="s">
        <v>6</v>
      </c>
      <c r="C7" s="24"/>
      <c r="D7" s="24"/>
      <c r="E7" s="24"/>
      <c r="F7" s="24"/>
      <c r="G7" s="24"/>
      <c r="H7" s="24"/>
      <c r="I7" s="24"/>
      <c r="J7" s="84" t="s">
        <v>7</v>
      </c>
      <c r="K7" s="85"/>
      <c r="L7" s="86"/>
      <c r="M7" s="25" t="s">
        <v>8</v>
      </c>
      <c r="N7" s="115" t="s">
        <v>9</v>
      </c>
      <c r="O7" s="116"/>
      <c r="P7" s="117"/>
      <c r="Q7" s="112" t="s">
        <v>10</v>
      </c>
      <c r="R7" s="113"/>
      <c r="S7" s="113"/>
      <c r="T7" s="113"/>
      <c r="U7" s="113"/>
      <c r="V7" s="114"/>
      <c r="W7" s="84" t="s">
        <v>11</v>
      </c>
      <c r="X7" s="85"/>
      <c r="Y7" s="85"/>
      <c r="Z7" s="86"/>
      <c r="AA7" s="27"/>
      <c r="AB7" s="112" t="s">
        <v>12</v>
      </c>
      <c r="AC7" s="113"/>
      <c r="AD7" s="113"/>
      <c r="AE7" s="113"/>
      <c r="AF7" s="113"/>
      <c r="AG7" s="113"/>
    </row>
    <row r="8" spans="2:33" s="13" customFormat="1" ht="15.75" customHeight="1" x14ac:dyDescent="0.25">
      <c r="B8" s="100" t="s">
        <v>13</v>
      </c>
      <c r="C8" s="101"/>
      <c r="D8" s="101"/>
      <c r="E8" s="101"/>
      <c r="F8" s="102"/>
      <c r="G8" s="22"/>
      <c r="H8" s="14" t="s">
        <v>15</v>
      </c>
      <c r="I8" s="106" t="s">
        <v>16</v>
      </c>
      <c r="J8" s="109" t="s">
        <v>17</v>
      </c>
      <c r="K8" s="109" t="s">
        <v>18</v>
      </c>
      <c r="L8" s="109" t="s">
        <v>19</v>
      </c>
      <c r="M8" s="103" t="s">
        <v>50</v>
      </c>
      <c r="N8" s="126" t="s">
        <v>21</v>
      </c>
      <c r="O8" s="127"/>
      <c r="P8" s="128"/>
      <c r="Q8" s="96" t="s">
        <v>51</v>
      </c>
      <c r="R8" s="96" t="s">
        <v>52</v>
      </c>
      <c r="S8" s="118" t="s">
        <v>24</v>
      </c>
      <c r="T8" s="88" t="s">
        <v>25</v>
      </c>
      <c r="U8" s="88" t="s">
        <v>26</v>
      </c>
      <c r="V8" s="91" t="s">
        <v>27</v>
      </c>
      <c r="W8" s="121" t="s">
        <v>28</v>
      </c>
      <c r="X8" s="121" t="s">
        <v>29</v>
      </c>
      <c r="Y8" s="121" t="s">
        <v>30</v>
      </c>
      <c r="Z8" s="121" t="s">
        <v>31</v>
      </c>
      <c r="AA8" s="28"/>
      <c r="AB8" s="96" t="s">
        <v>53</v>
      </c>
      <c r="AC8" s="96" t="s">
        <v>33</v>
      </c>
      <c r="AD8" s="118" t="s">
        <v>24</v>
      </c>
      <c r="AE8" s="88" t="s">
        <v>25</v>
      </c>
      <c r="AF8" s="88" t="s">
        <v>26</v>
      </c>
      <c r="AG8" s="91" t="s">
        <v>34</v>
      </c>
    </row>
    <row r="9" spans="2:33" ht="15" customHeight="1" x14ac:dyDescent="0.25">
      <c r="B9" s="87" t="s">
        <v>35</v>
      </c>
      <c r="C9" s="95" t="s">
        <v>36</v>
      </c>
      <c r="D9" s="99" t="s">
        <v>37</v>
      </c>
      <c r="E9" s="99"/>
      <c r="F9" s="99"/>
      <c r="G9" s="94" t="s">
        <v>54</v>
      </c>
      <c r="H9" s="134" t="s">
        <v>55</v>
      </c>
      <c r="I9" s="107"/>
      <c r="J9" s="110"/>
      <c r="K9" s="110"/>
      <c r="L9" s="110"/>
      <c r="M9" s="104"/>
      <c r="N9" s="129"/>
      <c r="O9" s="130"/>
      <c r="P9" s="131"/>
      <c r="Q9" s="97"/>
      <c r="R9" s="97"/>
      <c r="S9" s="119"/>
      <c r="T9" s="89"/>
      <c r="U9" s="89"/>
      <c r="V9" s="92"/>
      <c r="W9" s="122"/>
      <c r="X9" s="124"/>
      <c r="Y9" s="124"/>
      <c r="Z9" s="124"/>
      <c r="AA9" s="29"/>
      <c r="AB9" s="97"/>
      <c r="AC9" s="97"/>
      <c r="AD9" s="119"/>
      <c r="AE9" s="89"/>
      <c r="AF9" s="89"/>
      <c r="AG9" s="92"/>
    </row>
    <row r="10" spans="2:33" s="5" customFormat="1" ht="63.75" customHeight="1" x14ac:dyDescent="0.25">
      <c r="B10" s="87"/>
      <c r="C10" s="95"/>
      <c r="D10" s="75" t="s">
        <v>40</v>
      </c>
      <c r="E10" s="75" t="s">
        <v>41</v>
      </c>
      <c r="F10" s="75" t="s">
        <v>42</v>
      </c>
      <c r="G10" s="94"/>
      <c r="H10" s="135"/>
      <c r="I10" s="108"/>
      <c r="J10" s="111"/>
      <c r="K10" s="111"/>
      <c r="L10" s="111"/>
      <c r="M10" s="105"/>
      <c r="N10" s="74" t="s">
        <v>43</v>
      </c>
      <c r="O10" s="74" t="s">
        <v>44</v>
      </c>
      <c r="P10" s="74" t="s">
        <v>45</v>
      </c>
      <c r="Q10" s="98"/>
      <c r="R10" s="98"/>
      <c r="S10" s="120"/>
      <c r="T10" s="90"/>
      <c r="U10" s="90"/>
      <c r="V10" s="93"/>
      <c r="W10" s="123"/>
      <c r="X10" s="125"/>
      <c r="Y10" s="125"/>
      <c r="Z10" s="125"/>
      <c r="AA10" s="30"/>
      <c r="AB10" s="98"/>
      <c r="AC10" s="98"/>
      <c r="AD10" s="120"/>
      <c r="AE10" s="90"/>
      <c r="AF10" s="90"/>
      <c r="AG10" s="93"/>
    </row>
    <row r="11" spans="2:33" s="21" customFormat="1" ht="51" x14ac:dyDescent="0.25">
      <c r="B11" s="66" t="s">
        <v>56</v>
      </c>
      <c r="C11" s="66" t="s">
        <v>57</v>
      </c>
      <c r="D11" s="67" t="s">
        <v>58</v>
      </c>
      <c r="E11" s="67"/>
      <c r="F11" s="67" t="s">
        <v>58</v>
      </c>
      <c r="G11" s="66" t="s">
        <v>59</v>
      </c>
      <c r="H11" s="66" t="s">
        <v>60</v>
      </c>
      <c r="I11" s="68" t="s">
        <v>61</v>
      </c>
      <c r="J11" s="66" t="s">
        <v>62</v>
      </c>
      <c r="K11" s="66" t="s">
        <v>63</v>
      </c>
      <c r="L11" s="66" t="s">
        <v>64</v>
      </c>
      <c r="M11" s="66" t="s">
        <v>65</v>
      </c>
      <c r="N11" s="67" t="s">
        <v>66</v>
      </c>
      <c r="O11" s="67" t="s">
        <v>66</v>
      </c>
      <c r="P11" s="67" t="s">
        <v>66</v>
      </c>
      <c r="Q11" s="67" t="s">
        <v>67</v>
      </c>
      <c r="R11" s="67" t="s">
        <v>68</v>
      </c>
      <c r="S11" s="69">
        <f>VLOOKUP(Q11,'Drop Down Lists'!$B$2:$C$7,2,)</f>
        <v>3</v>
      </c>
      <c r="T11" s="69">
        <f>VLOOKUP(R11,'Drop Down Lists'!$B$9:$C$14,2,)</f>
        <v>3</v>
      </c>
      <c r="U11" s="69">
        <f>S11*T11</f>
        <v>9</v>
      </c>
      <c r="V11" s="70" t="str">
        <f>VLOOKUP(U11,'Drop Down Lists'!$E$2:$F$19,2,FALSE)</f>
        <v>High Risk</v>
      </c>
      <c r="W11" s="71" t="s">
        <v>69</v>
      </c>
      <c r="X11" s="68" t="s">
        <v>70</v>
      </c>
      <c r="Y11" s="68" t="s">
        <v>71</v>
      </c>
      <c r="Z11" s="68" t="s">
        <v>72</v>
      </c>
      <c r="AA11" s="72"/>
      <c r="AB11" s="67" t="s">
        <v>67</v>
      </c>
      <c r="AC11" s="67" t="s">
        <v>73</v>
      </c>
      <c r="AD11" s="69">
        <f>VLOOKUP(AB11,'Drop Down Lists'!$B$2:$C$7,2,)</f>
        <v>3</v>
      </c>
      <c r="AE11" s="69">
        <f>VLOOKUP(AC11,'Drop Down Lists'!$B$9:$C$14,2,)</f>
        <v>2</v>
      </c>
      <c r="AF11" s="69">
        <f>AD11*AE11</f>
        <v>6</v>
      </c>
      <c r="AG11" s="70" t="str">
        <f>VLOOKUP(AF11,'Drop Down Lists'!$E$2:$F$19,2,FALSE)</f>
        <v>High Risk</v>
      </c>
    </row>
    <row r="12" spans="2:33" s="21" customFormat="1" ht="38.25" x14ac:dyDescent="0.25">
      <c r="B12" s="66" t="s">
        <v>74</v>
      </c>
      <c r="C12" s="66" t="s">
        <v>75</v>
      </c>
      <c r="D12" s="67" t="s">
        <v>58</v>
      </c>
      <c r="E12" s="67"/>
      <c r="F12" s="67"/>
      <c r="G12" s="66" t="s">
        <v>76</v>
      </c>
      <c r="H12" s="66" t="s">
        <v>77</v>
      </c>
      <c r="I12" s="68" t="s">
        <v>63</v>
      </c>
      <c r="J12" s="66" t="s">
        <v>78</v>
      </c>
      <c r="K12" s="66" t="s">
        <v>79</v>
      </c>
      <c r="L12" s="66" t="s">
        <v>63</v>
      </c>
      <c r="M12" s="66" t="s">
        <v>63</v>
      </c>
      <c r="N12" s="67"/>
      <c r="O12" s="67"/>
      <c r="P12" s="67"/>
      <c r="Q12" s="67" t="s">
        <v>80</v>
      </c>
      <c r="R12" s="67" t="s">
        <v>73</v>
      </c>
      <c r="S12" s="69">
        <f>VLOOKUP(Q12,'Drop Down Lists'!$B$2:$C$7,2,)</f>
        <v>2</v>
      </c>
      <c r="T12" s="69">
        <f>VLOOKUP(R12,'Drop Down Lists'!$B$9:$C$14,2,)</f>
        <v>2</v>
      </c>
      <c r="U12" s="69">
        <f t="shared" ref="U12:U15" si="0">S12*T12</f>
        <v>4</v>
      </c>
      <c r="V12" s="70" t="str">
        <f>VLOOKUP(U12,'Drop Down Lists'!$E$2:$F$19,2,FALSE)</f>
        <v>Medium Risk</v>
      </c>
      <c r="W12" s="73" t="s">
        <v>63</v>
      </c>
      <c r="X12" s="68"/>
      <c r="Y12" s="68"/>
      <c r="Z12" s="68"/>
      <c r="AA12" s="72"/>
      <c r="AB12" s="67" t="s">
        <v>80</v>
      </c>
      <c r="AC12" s="67" t="s">
        <v>73</v>
      </c>
      <c r="AD12" s="69">
        <f>VLOOKUP(AB12,'Drop Down Lists'!$B$2:$C$7,2,)</f>
        <v>2</v>
      </c>
      <c r="AE12" s="69">
        <f>VLOOKUP(AC12,'Drop Down Lists'!$B$9:$C$14,2,)</f>
        <v>2</v>
      </c>
      <c r="AF12" s="69">
        <f t="shared" ref="AF12:AF15" si="1">AD12*AE12</f>
        <v>4</v>
      </c>
      <c r="AG12" s="70" t="str">
        <f>VLOOKUP(AF12,'Drop Down Lists'!$E$2:$F$19,2,FALSE)</f>
        <v>Medium Risk</v>
      </c>
    </row>
    <row r="13" spans="2:33" s="21" customFormat="1" ht="63.75" x14ac:dyDescent="0.25">
      <c r="B13" s="66" t="s">
        <v>81</v>
      </c>
      <c r="C13" s="66" t="s">
        <v>82</v>
      </c>
      <c r="D13" s="67" t="s">
        <v>58</v>
      </c>
      <c r="E13" s="67"/>
      <c r="F13" s="67"/>
      <c r="G13" s="66" t="s">
        <v>83</v>
      </c>
      <c r="H13" s="66" t="s">
        <v>84</v>
      </c>
      <c r="I13" s="68" t="s">
        <v>85</v>
      </c>
      <c r="J13" s="66" t="s">
        <v>86</v>
      </c>
      <c r="K13" s="66" t="s">
        <v>87</v>
      </c>
      <c r="L13" s="66" t="s">
        <v>63</v>
      </c>
      <c r="M13" s="66" t="s">
        <v>88</v>
      </c>
      <c r="N13" s="67"/>
      <c r="O13" s="67"/>
      <c r="P13" s="67"/>
      <c r="Q13" s="67" t="s">
        <v>67</v>
      </c>
      <c r="R13" s="67" t="s">
        <v>89</v>
      </c>
      <c r="S13" s="69">
        <f>VLOOKUP(Q13,'Drop Down Lists'!$B$2:$C$7,2,)</f>
        <v>3</v>
      </c>
      <c r="T13" s="69">
        <f>VLOOKUP(R13,'Drop Down Lists'!$B$9:$C$14,2,)</f>
        <v>1</v>
      </c>
      <c r="U13" s="69">
        <f t="shared" si="0"/>
        <v>3</v>
      </c>
      <c r="V13" s="70" t="str">
        <f>VLOOKUP(U13,'Drop Down Lists'!$E$2:$F$19,2,FALSE)</f>
        <v>Medium Risk</v>
      </c>
      <c r="W13" s="73" t="s">
        <v>90</v>
      </c>
      <c r="X13" s="68" t="s">
        <v>91</v>
      </c>
      <c r="Y13" s="68" t="s">
        <v>92</v>
      </c>
      <c r="Z13" s="68"/>
      <c r="AA13" s="72"/>
      <c r="AB13" s="67" t="s">
        <v>67</v>
      </c>
      <c r="AC13" s="67" t="s">
        <v>89</v>
      </c>
      <c r="AD13" s="69">
        <f>VLOOKUP(AB13,'Drop Down Lists'!$B$2:$C$7,2,)</f>
        <v>3</v>
      </c>
      <c r="AE13" s="69">
        <f>VLOOKUP(AC13,'Drop Down Lists'!$B$9:$C$14,2,)</f>
        <v>1</v>
      </c>
      <c r="AF13" s="69">
        <f t="shared" si="1"/>
        <v>3</v>
      </c>
      <c r="AG13" s="70" t="str">
        <f>VLOOKUP(AF13,'Drop Down Lists'!$E$2:$F$19,2,FALSE)</f>
        <v>Medium Risk</v>
      </c>
    </row>
    <row r="14" spans="2:33" s="21" customFormat="1" ht="38.25" x14ac:dyDescent="0.25">
      <c r="B14" s="66" t="s">
        <v>93</v>
      </c>
      <c r="C14" s="66" t="s">
        <v>94</v>
      </c>
      <c r="D14" s="67" t="s">
        <v>58</v>
      </c>
      <c r="E14" s="67"/>
      <c r="F14" s="67"/>
      <c r="G14" s="66" t="s">
        <v>95</v>
      </c>
      <c r="H14" s="66" t="s">
        <v>96</v>
      </c>
      <c r="I14" s="68" t="s">
        <v>63</v>
      </c>
      <c r="J14" s="66" t="s">
        <v>97</v>
      </c>
      <c r="K14" s="66" t="s">
        <v>63</v>
      </c>
      <c r="L14" s="66" t="s">
        <v>63</v>
      </c>
      <c r="M14" s="66" t="s">
        <v>98</v>
      </c>
      <c r="N14" s="67"/>
      <c r="O14" s="67"/>
      <c r="P14" s="67"/>
      <c r="Q14" s="67" t="s">
        <v>99</v>
      </c>
      <c r="R14" s="67" t="s">
        <v>68</v>
      </c>
      <c r="S14" s="69">
        <f>VLOOKUP(Q14,'Drop Down Lists'!$B$2:$C$7,2,)</f>
        <v>1</v>
      </c>
      <c r="T14" s="69">
        <f>VLOOKUP(R14,'Drop Down Lists'!$B$9:$C$14,2,)</f>
        <v>3</v>
      </c>
      <c r="U14" s="69">
        <f t="shared" si="0"/>
        <v>3</v>
      </c>
      <c r="V14" s="70" t="str">
        <f>VLOOKUP(U14,'Drop Down Lists'!$E$2:$F$19,2,FALSE)</f>
        <v>Medium Risk</v>
      </c>
      <c r="W14" s="71" t="s">
        <v>100</v>
      </c>
      <c r="X14" s="68" t="s">
        <v>101</v>
      </c>
      <c r="Y14" s="68" t="s">
        <v>102</v>
      </c>
      <c r="Z14" s="68"/>
      <c r="AA14" s="72"/>
      <c r="AB14" s="67" t="s">
        <v>99</v>
      </c>
      <c r="AC14" s="67" t="s">
        <v>73</v>
      </c>
      <c r="AD14" s="69">
        <f>VLOOKUP(AB14,'Drop Down Lists'!$B$2:$C$7,2,)</f>
        <v>1</v>
      </c>
      <c r="AE14" s="69">
        <f>VLOOKUP(AC14,'Drop Down Lists'!$B$9:$C$14,2,)</f>
        <v>2</v>
      </c>
      <c r="AF14" s="69">
        <f t="shared" si="1"/>
        <v>2</v>
      </c>
      <c r="AG14" s="70" t="str">
        <f>VLOOKUP(AF14,'Drop Down Lists'!$E$2:$F$19,2,FALSE)</f>
        <v>Low Risk</v>
      </c>
    </row>
    <row r="15" spans="2:33" s="21" customFormat="1" ht="38.25" x14ac:dyDescent="0.25">
      <c r="B15" s="66" t="s">
        <v>103</v>
      </c>
      <c r="C15" s="66" t="s">
        <v>104</v>
      </c>
      <c r="D15" s="67" t="s">
        <v>58</v>
      </c>
      <c r="E15" s="67"/>
      <c r="F15" s="67"/>
      <c r="G15" s="66" t="s">
        <v>105</v>
      </c>
      <c r="H15" s="66" t="s">
        <v>106</v>
      </c>
      <c r="I15" s="68" t="s">
        <v>107</v>
      </c>
      <c r="J15" s="66" t="s">
        <v>108</v>
      </c>
      <c r="K15" s="66" t="s">
        <v>63</v>
      </c>
      <c r="L15" s="66" t="s">
        <v>63</v>
      </c>
      <c r="M15" s="66" t="s">
        <v>63</v>
      </c>
      <c r="N15" s="67"/>
      <c r="O15" s="67"/>
      <c r="P15" s="67"/>
      <c r="Q15" s="67" t="s">
        <v>80</v>
      </c>
      <c r="R15" s="67" t="s">
        <v>89</v>
      </c>
      <c r="S15" s="69">
        <f>VLOOKUP(Q15,'Drop Down Lists'!$B$2:$C$7,2,)</f>
        <v>2</v>
      </c>
      <c r="T15" s="69">
        <f>VLOOKUP(R15,'Drop Down Lists'!$B$9:$C$14,2,)</f>
        <v>1</v>
      </c>
      <c r="U15" s="69">
        <f t="shared" si="0"/>
        <v>2</v>
      </c>
      <c r="V15" s="70" t="str">
        <f>VLOOKUP(U15,'Drop Down Lists'!$E$2:$F$19,2,FALSE)</f>
        <v>Low Risk</v>
      </c>
      <c r="W15" s="73" t="s">
        <v>63</v>
      </c>
      <c r="X15" s="68"/>
      <c r="Y15" s="68"/>
      <c r="Z15" s="68"/>
      <c r="AA15" s="72"/>
      <c r="AB15" s="67" t="s">
        <v>80</v>
      </c>
      <c r="AC15" s="67" t="s">
        <v>89</v>
      </c>
      <c r="AD15" s="69">
        <f>VLOOKUP(AB15,'Drop Down Lists'!$B$2:$C$7,2,)</f>
        <v>2</v>
      </c>
      <c r="AE15" s="69">
        <f>VLOOKUP(AC15,'Drop Down Lists'!$B$9:$C$14,2,)</f>
        <v>1</v>
      </c>
      <c r="AF15" s="69">
        <f t="shared" si="1"/>
        <v>2</v>
      </c>
      <c r="AG15" s="70" t="str">
        <f>VLOOKUP(AF15,'Drop Down Lists'!$E$2:$F$19,2,FALSE)</f>
        <v>Low Risk</v>
      </c>
    </row>
    <row r="16" spans="2:33" x14ac:dyDescent="0.25">
      <c r="S16" s="7"/>
    </row>
    <row r="17" spans="11:19" x14ac:dyDescent="0.25">
      <c r="S17" s="7"/>
    </row>
    <row r="18" spans="11:19" x14ac:dyDescent="0.25">
      <c r="S18" s="7"/>
    </row>
    <row r="19" spans="11:19" x14ac:dyDescent="0.25">
      <c r="S19" s="7"/>
    </row>
    <row r="20" spans="11:19" x14ac:dyDescent="0.25">
      <c r="S20" s="7"/>
    </row>
    <row r="21" spans="11:19" x14ac:dyDescent="0.25">
      <c r="K21" s="8"/>
    </row>
  </sheetData>
  <mergeCells count="42">
    <mergeCell ref="G9:G10"/>
    <mergeCell ref="H9:H10"/>
    <mergeCell ref="AE8:AE10"/>
    <mergeCell ref="S8:S10"/>
    <mergeCell ref="T8:T10"/>
    <mergeCell ref="U8:U10"/>
    <mergeCell ref="Y8:Y10"/>
    <mergeCell ref="Z8:Z10"/>
    <mergeCell ref="AB8:AB10"/>
    <mergeCell ref="AC8:AC10"/>
    <mergeCell ref="AD8:AD10"/>
    <mergeCell ref="V8:V10"/>
    <mergeCell ref="W8:W10"/>
    <mergeCell ref="X8:X10"/>
    <mergeCell ref="AB7:AG7"/>
    <mergeCell ref="B8:F8"/>
    <mergeCell ref="I8:I10"/>
    <mergeCell ref="J8:J10"/>
    <mergeCell ref="K8:K10"/>
    <mergeCell ref="L8:L10"/>
    <mergeCell ref="M8:M10"/>
    <mergeCell ref="N8:P9"/>
    <mergeCell ref="Q8:Q10"/>
    <mergeCell ref="R8:R10"/>
    <mergeCell ref="W7:Z7"/>
    <mergeCell ref="AF8:AF10"/>
    <mergeCell ref="AG8:AG10"/>
    <mergeCell ref="B9:B10"/>
    <mergeCell ref="C9:C10"/>
    <mergeCell ref="D9:F9"/>
    <mergeCell ref="B6:C6"/>
    <mergeCell ref="D6:H6"/>
    <mergeCell ref="J7:L7"/>
    <mergeCell ref="N7:P7"/>
    <mergeCell ref="Q7:V7"/>
    <mergeCell ref="B5:C5"/>
    <mergeCell ref="D5:H5"/>
    <mergeCell ref="B2:H2"/>
    <mergeCell ref="B3:C3"/>
    <mergeCell ref="D3:H3"/>
    <mergeCell ref="B4:C4"/>
    <mergeCell ref="D4:H4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equal" id="{E58C605B-257D-43B1-AAD8-7537A0EE50BF}">
            <xm:f>'Drop Down Lists'!$F$3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6" operator="equal" id="{273830E9-B54B-4071-A4EE-7B024B0D8B09}">
            <xm:f>'Drop Down Lists'!$F$4</xm:f>
            <x14:dxf>
              <fill>
                <patternFill>
                  <bgColor theme="9"/>
                </patternFill>
              </fill>
            </x14:dxf>
          </x14:cfRule>
          <x14:cfRule type="cellIs" priority="7" operator="equal" id="{07905492-7BEB-4721-830C-22F90B27B289}">
            <xm:f>'Drop Down Lists'!$F$15</xm:f>
            <x14:dxf>
              <fill>
                <patternFill>
                  <bgColor rgb="FFFF0000"/>
                </patternFill>
              </fill>
            </x14:dxf>
          </x14:cfRule>
          <x14:cfRule type="cellIs" priority="8" operator="equal" id="{7BF08CFD-77C6-4703-8EEE-78752B10C5CB}">
            <xm:f>'Drop Down Lists'!$F$9</xm:f>
            <x14:dxf>
              <fill>
                <patternFill>
                  <bgColor rgb="FFFFFF00"/>
                </patternFill>
              </fill>
            </x14:dxf>
          </x14:cfRule>
          <xm:sqref>V11:V15</xm:sqref>
        </x14:conditionalFormatting>
        <x14:conditionalFormatting xmlns:xm="http://schemas.microsoft.com/office/excel/2006/main">
          <x14:cfRule type="cellIs" priority="1" operator="equal" id="{0DCBF30D-08AF-4317-81FB-6C553F943C15}">
            <xm:f>'Drop Down Lists'!$F$3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" operator="equal" id="{C9E2BAA2-D0C2-4A4D-9537-3514F06D9E44}">
            <xm:f>'Drop Down Lists'!$F$4</xm:f>
            <x14:dxf>
              <fill>
                <patternFill>
                  <bgColor theme="9"/>
                </patternFill>
              </fill>
            </x14:dxf>
          </x14:cfRule>
          <x14:cfRule type="cellIs" priority="3" operator="equal" id="{A2DCBB6E-7DE5-404F-AE19-C51D22CF19AB}">
            <xm:f>'Drop Down Lists'!$F$15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EBCDF2B6-7FA2-444B-921F-B1980148B1AD}">
            <xm:f>'Drop Down Lists'!$F$9</xm:f>
            <x14:dxf>
              <fill>
                <patternFill>
                  <bgColor rgb="FFFFFF00"/>
                </patternFill>
              </fill>
            </x14:dxf>
          </x14:cfRule>
          <xm:sqref>AG11:AG15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100-000000000000}">
          <x14:formula1>
            <xm:f>'I&amp;I Cats-r'!$B$3:$B$22</xm:f>
          </x14:formula1>
          <xm:sqref>G11:G15</xm:sqref>
        </x14:dataValidation>
        <x14:dataValidation type="list" allowBlank="1" showInputMessage="1" showErrorMessage="1" xr:uid="{00000000-0002-0000-0100-000001000000}">
          <x14:formula1>
            <xm:f>'Drop Down Lists'!$B$21:$B$22</xm:f>
          </x14:formula1>
          <xm:sqref>N11:P15</xm:sqref>
        </x14:dataValidation>
        <x14:dataValidation type="list" allowBlank="1" showInputMessage="1" showErrorMessage="1" xr:uid="{00000000-0002-0000-0100-000002000000}">
          <x14:formula1>
            <xm:f>'Drop Down Lists'!$B$17:$B$18</xm:f>
          </x14:formula1>
          <xm:sqref>D11:F15</xm:sqref>
        </x14:dataValidation>
        <x14:dataValidation type="list" allowBlank="1" showInputMessage="1" showErrorMessage="1" xr:uid="{00000000-0002-0000-0100-000003000000}">
          <x14:formula1>
            <xm:f>'Drop Down Lists'!$B$10:$B$14</xm:f>
          </x14:formula1>
          <xm:sqref>AC11:AC15 R11:R15</xm:sqref>
        </x14:dataValidation>
        <x14:dataValidation type="list" allowBlank="1" showInputMessage="1" showErrorMessage="1" xr:uid="{00000000-0002-0000-0100-000004000000}">
          <x14:formula1>
            <xm:f>'Drop Down Lists'!$B$3:$B$7</xm:f>
          </x14:formula1>
          <xm:sqref>AB11:AB15 Q11:Q15</xm:sqref>
        </x14:dataValidation>
        <x14:dataValidation type="list" allowBlank="1" showInputMessage="1" showErrorMessage="1" xr:uid="{00000000-0002-0000-0100-000005000000}">
          <x14:formula1>
            <xm:f>'Hazard Cats.-r'!$B$3:$B$30</xm:f>
          </x14:formula1>
          <xm:sqref>B11:B15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24"/>
  <sheetViews>
    <sheetView topLeftCell="A3" zoomScaleNormal="100" workbookViewId="0">
      <selection activeCell="O6" sqref="O6"/>
    </sheetView>
  </sheetViews>
  <sheetFormatPr defaultRowHeight="15" x14ac:dyDescent="0.25"/>
  <cols>
    <col min="1" max="2" width="3.42578125" customWidth="1"/>
    <col min="3" max="3" width="4.28515625" customWidth="1"/>
    <col min="4" max="4" width="6.5703125" customWidth="1"/>
    <col min="5" max="5" width="20.7109375" customWidth="1"/>
    <col min="6" max="7" width="25.7109375" customWidth="1"/>
    <col min="8" max="11" width="20.7109375" customWidth="1"/>
    <col min="12" max="12" width="3.7109375" customWidth="1"/>
  </cols>
  <sheetData>
    <row r="2" spans="2:12" ht="15.75" thickBot="1" x14ac:dyDescent="0.3">
      <c r="B2" s="53"/>
      <c r="C2" s="54"/>
      <c r="D2" s="54"/>
      <c r="E2" s="54"/>
      <c r="F2" s="54"/>
      <c r="G2" s="54"/>
      <c r="H2" s="54"/>
      <c r="I2" s="54"/>
      <c r="J2" s="54"/>
      <c r="K2" s="54"/>
      <c r="L2" s="55"/>
    </row>
    <row r="3" spans="2:12" ht="36.75" thickBot="1" x14ac:dyDescent="0.3">
      <c r="B3" s="56"/>
      <c r="C3" s="185" t="s">
        <v>109</v>
      </c>
      <c r="D3" s="186"/>
      <c r="E3" s="186"/>
      <c r="F3" s="186"/>
      <c r="G3" s="186"/>
      <c r="H3" s="186"/>
      <c r="I3" s="186"/>
      <c r="J3" s="186"/>
      <c r="K3" s="187"/>
      <c r="L3" s="57"/>
    </row>
    <row r="4" spans="2:12" ht="29.25" customHeight="1" thickBot="1" x14ac:dyDescent="0.3">
      <c r="B4" s="56"/>
      <c r="C4" s="179"/>
      <c r="D4" s="180"/>
      <c r="E4" s="181"/>
      <c r="F4" s="191" t="s">
        <v>110</v>
      </c>
      <c r="G4" s="191"/>
      <c r="H4" s="165" t="s">
        <v>111</v>
      </c>
      <c r="I4" s="167" t="s">
        <v>112</v>
      </c>
      <c r="J4" s="169" t="s">
        <v>113</v>
      </c>
      <c r="K4" s="171" t="s">
        <v>114</v>
      </c>
      <c r="L4" s="57"/>
    </row>
    <row r="5" spans="2:12" ht="57.75" customHeight="1" thickBot="1" x14ac:dyDescent="0.3">
      <c r="B5" s="56"/>
      <c r="C5" s="182"/>
      <c r="D5" s="183"/>
      <c r="E5" s="184"/>
      <c r="F5" s="32" t="s">
        <v>115</v>
      </c>
      <c r="G5" s="32" t="s">
        <v>116</v>
      </c>
      <c r="H5" s="166"/>
      <c r="I5" s="168"/>
      <c r="J5" s="170"/>
      <c r="K5" s="172"/>
      <c r="L5" s="57"/>
    </row>
    <row r="6" spans="2:12" ht="84.95" customHeight="1" thickTop="1" thickBot="1" x14ac:dyDescent="0.3">
      <c r="B6" s="56"/>
      <c r="C6" s="145" t="s">
        <v>117</v>
      </c>
      <c r="D6" s="146"/>
      <c r="E6" s="33" t="s">
        <v>118</v>
      </c>
      <c r="F6" s="31" t="s">
        <v>119</v>
      </c>
      <c r="G6" s="39" t="s">
        <v>120</v>
      </c>
      <c r="H6" s="42" t="s">
        <v>121</v>
      </c>
      <c r="I6" s="43" t="s">
        <v>122</v>
      </c>
      <c r="J6" s="44" t="s">
        <v>123</v>
      </c>
      <c r="K6" s="48" t="s">
        <v>124</v>
      </c>
      <c r="L6" s="57"/>
    </row>
    <row r="7" spans="2:12" ht="84.95" customHeight="1" thickBot="1" x14ac:dyDescent="0.3">
      <c r="B7" s="56"/>
      <c r="C7" s="147"/>
      <c r="D7" s="148"/>
      <c r="E7" s="36" t="s">
        <v>125</v>
      </c>
      <c r="F7" s="31" t="s">
        <v>126</v>
      </c>
      <c r="G7" s="39" t="s">
        <v>127</v>
      </c>
      <c r="H7" s="40" t="s">
        <v>128</v>
      </c>
      <c r="I7" s="35" t="s">
        <v>129</v>
      </c>
      <c r="J7" s="35" t="s">
        <v>130</v>
      </c>
      <c r="K7" s="49" t="s">
        <v>123</v>
      </c>
      <c r="L7" s="57"/>
    </row>
    <row r="8" spans="2:12" ht="84.95" customHeight="1" thickBot="1" x14ac:dyDescent="0.3">
      <c r="B8" s="56"/>
      <c r="C8" s="147"/>
      <c r="D8" s="148"/>
      <c r="E8" s="37" t="s">
        <v>131</v>
      </c>
      <c r="F8" s="31" t="s">
        <v>132</v>
      </c>
      <c r="G8" s="39" t="s">
        <v>133</v>
      </c>
      <c r="H8" s="41" t="s">
        <v>134</v>
      </c>
      <c r="I8" s="34" t="s">
        <v>121</v>
      </c>
      <c r="J8" s="35" t="s">
        <v>129</v>
      </c>
      <c r="K8" s="50" t="s">
        <v>122</v>
      </c>
      <c r="L8" s="57"/>
    </row>
    <row r="9" spans="2:12" ht="84.95" customHeight="1" thickBot="1" x14ac:dyDescent="0.3">
      <c r="B9" s="56"/>
      <c r="C9" s="149"/>
      <c r="D9" s="150"/>
      <c r="E9" s="38" t="s">
        <v>135</v>
      </c>
      <c r="F9" s="31" t="s">
        <v>136</v>
      </c>
      <c r="G9" s="39" t="s">
        <v>63</v>
      </c>
      <c r="H9" s="45" t="s">
        <v>137</v>
      </c>
      <c r="I9" s="46" t="s">
        <v>134</v>
      </c>
      <c r="J9" s="47" t="s">
        <v>128</v>
      </c>
      <c r="K9" s="51" t="s">
        <v>121</v>
      </c>
      <c r="L9" s="57"/>
    </row>
    <row r="10" spans="2:12" ht="34.5" customHeight="1" thickTop="1" x14ac:dyDescent="0.25">
      <c r="B10" s="56"/>
      <c r="C10" s="179"/>
      <c r="D10" s="180"/>
      <c r="E10" s="180"/>
      <c r="F10" s="180"/>
      <c r="G10" s="181"/>
      <c r="H10" s="155" t="s">
        <v>138</v>
      </c>
      <c r="I10" s="156"/>
      <c r="J10" s="156"/>
      <c r="K10" s="157"/>
      <c r="L10" s="57"/>
    </row>
    <row r="11" spans="2:12" ht="15" customHeight="1" thickBot="1" x14ac:dyDescent="0.3">
      <c r="B11" s="56"/>
      <c r="C11" s="182"/>
      <c r="D11" s="183"/>
      <c r="E11" s="183"/>
      <c r="F11" s="183"/>
      <c r="G11" s="184"/>
      <c r="H11" s="158"/>
      <c r="I11" s="159"/>
      <c r="J11" s="159"/>
      <c r="K11" s="160"/>
      <c r="L11" s="57"/>
    </row>
    <row r="12" spans="2:12" ht="15.75" thickBot="1" x14ac:dyDescent="0.3">
      <c r="B12" s="56"/>
      <c r="C12" s="58"/>
      <c r="D12" s="58"/>
      <c r="E12" s="58"/>
      <c r="F12" s="58"/>
      <c r="G12" s="58"/>
      <c r="H12" s="58"/>
      <c r="I12" s="58"/>
      <c r="J12" s="58"/>
      <c r="K12" s="58"/>
      <c r="L12" s="57"/>
    </row>
    <row r="13" spans="2:12" ht="15.75" customHeight="1" thickBot="1" x14ac:dyDescent="0.3">
      <c r="B13" s="56"/>
      <c r="C13" s="58"/>
      <c r="D13" s="58"/>
      <c r="E13" s="58"/>
      <c r="F13" s="58"/>
      <c r="G13" s="58"/>
      <c r="H13" s="188" t="s">
        <v>139</v>
      </c>
      <c r="I13" s="188"/>
      <c r="J13" s="188"/>
      <c r="K13" s="188"/>
      <c r="L13" s="57"/>
    </row>
    <row r="14" spans="2:12" ht="20.100000000000001" customHeight="1" thickBot="1" x14ac:dyDescent="0.3">
      <c r="B14" s="56"/>
      <c r="C14" s="58"/>
      <c r="D14" s="58"/>
      <c r="E14" s="58"/>
      <c r="F14" s="58"/>
      <c r="G14" s="58"/>
      <c r="H14" s="62" t="s">
        <v>140</v>
      </c>
      <c r="I14" s="189" t="s">
        <v>141</v>
      </c>
      <c r="J14" s="190"/>
      <c r="K14" s="190"/>
      <c r="L14" s="57"/>
    </row>
    <row r="15" spans="2:12" ht="20.100000000000001" customHeight="1" thickBot="1" x14ac:dyDescent="0.3">
      <c r="B15" s="56"/>
      <c r="C15" s="58"/>
      <c r="D15" s="58"/>
      <c r="E15" s="58"/>
      <c r="F15" s="58"/>
      <c r="G15" s="58"/>
      <c r="H15" s="63" t="s">
        <v>142</v>
      </c>
      <c r="I15" s="189" t="s">
        <v>143</v>
      </c>
      <c r="J15" s="190"/>
      <c r="K15" s="190"/>
      <c r="L15" s="57"/>
    </row>
    <row r="16" spans="2:12" ht="20.100000000000001" customHeight="1" thickBot="1" x14ac:dyDescent="0.3">
      <c r="B16" s="56"/>
      <c r="C16" s="58"/>
      <c r="D16" s="58"/>
      <c r="E16" s="58"/>
      <c r="F16" s="58"/>
      <c r="G16" s="58"/>
      <c r="H16" s="64" t="s">
        <v>144</v>
      </c>
      <c r="I16" s="189" t="s">
        <v>145</v>
      </c>
      <c r="J16" s="190"/>
      <c r="K16" s="190"/>
      <c r="L16" s="57"/>
    </row>
    <row r="17" spans="2:12" ht="20.100000000000001" customHeight="1" thickBot="1" x14ac:dyDescent="0.3">
      <c r="B17" s="56"/>
      <c r="C17" s="58"/>
      <c r="D17" s="58"/>
      <c r="E17" s="58"/>
      <c r="F17" s="58"/>
      <c r="G17" s="58"/>
      <c r="H17" s="65" t="s">
        <v>146</v>
      </c>
      <c r="I17" s="189" t="s">
        <v>147</v>
      </c>
      <c r="J17" s="190"/>
      <c r="K17" s="190"/>
      <c r="L17" s="57"/>
    </row>
    <row r="18" spans="2:12" x14ac:dyDescent="0.25">
      <c r="B18" s="56"/>
      <c r="C18" s="58"/>
      <c r="D18" s="58"/>
      <c r="E18" s="58"/>
      <c r="F18" s="58"/>
      <c r="G18" s="58"/>
      <c r="H18" s="58"/>
      <c r="I18" s="58"/>
      <c r="J18" s="58"/>
      <c r="K18" s="58"/>
      <c r="L18" s="57"/>
    </row>
    <row r="19" spans="2:12" x14ac:dyDescent="0.25">
      <c r="B19" s="56"/>
      <c r="C19" s="198" t="s">
        <v>148</v>
      </c>
      <c r="D19" s="199"/>
      <c r="E19" s="199"/>
      <c r="F19" s="199"/>
      <c r="G19" s="199"/>
      <c r="H19" s="199"/>
      <c r="I19" s="199"/>
      <c r="J19" s="199"/>
      <c r="K19" s="200"/>
      <c r="L19" s="57"/>
    </row>
    <row r="20" spans="2:12" ht="15" customHeight="1" x14ac:dyDescent="0.25">
      <c r="B20" s="56"/>
      <c r="C20" s="192" t="s">
        <v>149</v>
      </c>
      <c r="D20" s="193"/>
      <c r="E20" s="193"/>
      <c r="F20" s="193"/>
      <c r="G20" s="193"/>
      <c r="H20" s="193"/>
      <c r="I20" s="193"/>
      <c r="J20" s="193"/>
      <c r="K20" s="194"/>
      <c r="L20" s="57"/>
    </row>
    <row r="21" spans="2:12" ht="15" customHeight="1" x14ac:dyDescent="0.25">
      <c r="B21" s="56"/>
      <c r="C21" s="192" t="s">
        <v>150</v>
      </c>
      <c r="D21" s="193"/>
      <c r="E21" s="193"/>
      <c r="F21" s="193"/>
      <c r="G21" s="193"/>
      <c r="H21" s="193"/>
      <c r="I21" s="193"/>
      <c r="J21" s="193"/>
      <c r="K21" s="194"/>
      <c r="L21" s="57"/>
    </row>
    <row r="22" spans="2:12" ht="29.25" customHeight="1" x14ac:dyDescent="0.25">
      <c r="B22" s="56"/>
      <c r="C22" s="192" t="s">
        <v>151</v>
      </c>
      <c r="D22" s="193"/>
      <c r="E22" s="193"/>
      <c r="F22" s="193"/>
      <c r="G22" s="193"/>
      <c r="H22" s="193"/>
      <c r="I22" s="193"/>
      <c r="J22" s="193"/>
      <c r="K22" s="194"/>
      <c r="L22" s="57"/>
    </row>
    <row r="23" spans="2:12" ht="15" customHeight="1" x14ac:dyDescent="0.25">
      <c r="B23" s="56"/>
      <c r="C23" s="195" t="s">
        <v>152</v>
      </c>
      <c r="D23" s="196"/>
      <c r="E23" s="196"/>
      <c r="F23" s="196"/>
      <c r="G23" s="196"/>
      <c r="H23" s="196"/>
      <c r="I23" s="196"/>
      <c r="J23" s="196"/>
      <c r="K23" s="197"/>
      <c r="L23" s="57"/>
    </row>
    <row r="24" spans="2:12" x14ac:dyDescent="0.25">
      <c r="B24" s="59"/>
      <c r="C24" s="60"/>
      <c r="D24" s="60"/>
      <c r="E24" s="60"/>
      <c r="F24" s="60"/>
      <c r="G24" s="60"/>
      <c r="H24" s="60"/>
      <c r="I24" s="60"/>
      <c r="J24" s="60"/>
      <c r="K24" s="60"/>
      <c r="L24" s="61"/>
    </row>
  </sheetData>
  <mergeCells count="20">
    <mergeCell ref="C21:K21"/>
    <mergeCell ref="C22:K22"/>
    <mergeCell ref="C23:K23"/>
    <mergeCell ref="I15:K15"/>
    <mergeCell ref="I16:K16"/>
    <mergeCell ref="I17:K17"/>
    <mergeCell ref="C19:K19"/>
    <mergeCell ref="C20:K20"/>
    <mergeCell ref="C4:E5"/>
    <mergeCell ref="C3:K3"/>
    <mergeCell ref="H13:K13"/>
    <mergeCell ref="I14:K14"/>
    <mergeCell ref="F4:G4"/>
    <mergeCell ref="H4:H5"/>
    <mergeCell ref="I4:I5"/>
    <mergeCell ref="J4:J5"/>
    <mergeCell ref="K4:K5"/>
    <mergeCell ref="H10:K11"/>
    <mergeCell ref="C10:G11"/>
    <mergeCell ref="C6:D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0"/>
  <sheetViews>
    <sheetView topLeftCell="A2" zoomScaleNormal="100" workbookViewId="0">
      <selection activeCell="J8" sqref="J8"/>
    </sheetView>
  </sheetViews>
  <sheetFormatPr defaultRowHeight="15" x14ac:dyDescent="0.25"/>
  <cols>
    <col min="1" max="1" width="3.42578125" customWidth="1"/>
    <col min="2" max="2" width="4.28515625" customWidth="1"/>
    <col min="3" max="3" width="6.5703125" customWidth="1"/>
    <col min="4" max="4" width="20.7109375" customWidth="1"/>
    <col min="5" max="8" width="30.7109375" customWidth="1"/>
  </cols>
  <sheetData>
    <row r="2" spans="2:8" ht="32.25" customHeight="1" thickBot="1" x14ac:dyDescent="0.6">
      <c r="B2" s="161" t="s">
        <v>153</v>
      </c>
      <c r="C2" s="161"/>
      <c r="D2" s="161"/>
      <c r="E2" s="161"/>
      <c r="F2" s="161"/>
      <c r="G2" s="161"/>
      <c r="H2" s="162"/>
    </row>
    <row r="3" spans="2:8" ht="29.25" customHeight="1" thickBot="1" x14ac:dyDescent="0.3">
      <c r="B3" s="153"/>
      <c r="C3" s="153"/>
      <c r="D3" s="154"/>
      <c r="E3" s="165" t="s">
        <v>111</v>
      </c>
      <c r="F3" s="167" t="s">
        <v>154</v>
      </c>
      <c r="G3" s="169" t="s">
        <v>113</v>
      </c>
      <c r="H3" s="171" t="s">
        <v>114</v>
      </c>
    </row>
    <row r="4" spans="2:8" ht="57.75" customHeight="1" thickBot="1" x14ac:dyDescent="0.3">
      <c r="B4" s="163"/>
      <c r="C4" s="163"/>
      <c r="D4" s="164"/>
      <c r="E4" s="166"/>
      <c r="F4" s="168"/>
      <c r="G4" s="170"/>
      <c r="H4" s="172"/>
    </row>
    <row r="5" spans="2:8" ht="99.95" customHeight="1" thickTop="1" thickBot="1" x14ac:dyDescent="0.3">
      <c r="B5" s="145" t="s">
        <v>155</v>
      </c>
      <c r="C5" s="146"/>
      <c r="D5" s="33" t="s">
        <v>118</v>
      </c>
      <c r="E5" s="42"/>
      <c r="F5" s="43"/>
      <c r="G5" s="44"/>
      <c r="H5" s="48"/>
    </row>
    <row r="6" spans="2:8" ht="99.95" customHeight="1" thickBot="1" x14ac:dyDescent="0.3">
      <c r="B6" s="147"/>
      <c r="C6" s="148"/>
      <c r="D6" s="36" t="s">
        <v>125</v>
      </c>
      <c r="E6" s="40"/>
      <c r="F6" s="35"/>
      <c r="G6" s="35"/>
      <c r="H6" s="49"/>
    </row>
    <row r="7" spans="2:8" ht="99.95" customHeight="1" thickBot="1" x14ac:dyDescent="0.3">
      <c r="B7" s="147"/>
      <c r="C7" s="148"/>
      <c r="D7" s="37" t="s">
        <v>131</v>
      </c>
      <c r="E7" s="41"/>
      <c r="F7" s="34"/>
      <c r="G7" s="35"/>
      <c r="H7" s="50"/>
    </row>
    <row r="8" spans="2:8" ht="99.95" customHeight="1" thickBot="1" x14ac:dyDescent="0.3">
      <c r="B8" s="149"/>
      <c r="C8" s="150"/>
      <c r="D8" s="38" t="s">
        <v>135</v>
      </c>
      <c r="E8" s="45"/>
      <c r="F8" s="46"/>
      <c r="G8" s="47"/>
      <c r="H8" s="51"/>
    </row>
    <row r="9" spans="2:8" ht="34.5" customHeight="1" thickTop="1" x14ac:dyDescent="0.25">
      <c r="B9" s="151"/>
      <c r="C9" s="151"/>
      <c r="D9" s="152"/>
      <c r="E9" s="155" t="s">
        <v>156</v>
      </c>
      <c r="F9" s="156"/>
      <c r="G9" s="156"/>
      <c r="H9" s="157"/>
    </row>
    <row r="10" spans="2:8" ht="15" customHeight="1" thickBot="1" x14ac:dyDescent="0.3">
      <c r="B10" s="153"/>
      <c r="C10" s="153"/>
      <c r="D10" s="154"/>
      <c r="E10" s="158"/>
      <c r="F10" s="159"/>
      <c r="G10" s="159"/>
      <c r="H10" s="160"/>
    </row>
  </sheetData>
  <mergeCells count="9">
    <mergeCell ref="B5:C8"/>
    <mergeCell ref="B9:D10"/>
    <mergeCell ref="E9:H10"/>
    <mergeCell ref="B2:H2"/>
    <mergeCell ref="B3:D4"/>
    <mergeCell ref="E3:E4"/>
    <mergeCell ref="F3:F4"/>
    <mergeCell ref="G3:G4"/>
    <mergeCell ref="H3:H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22"/>
  <sheetViews>
    <sheetView workbookViewId="0">
      <selection activeCell="H10" sqref="H10"/>
    </sheetView>
  </sheetViews>
  <sheetFormatPr defaultColWidth="9.140625" defaultRowHeight="15" x14ac:dyDescent="0.25"/>
  <cols>
    <col min="1" max="1" width="2.42578125" customWidth="1"/>
    <col min="2" max="2" width="41.140625" bestFit="1" customWidth="1"/>
  </cols>
  <sheetData>
    <row r="1" spans="2:2" ht="18.75" x14ac:dyDescent="0.3">
      <c r="B1" s="2" t="s">
        <v>292</v>
      </c>
    </row>
    <row r="2" spans="2:2" s="1" customFormat="1" ht="18.75" x14ac:dyDescent="0.3">
      <c r="B2" s="6" t="s">
        <v>161</v>
      </c>
    </row>
    <row r="3" spans="2:2" s="12" customFormat="1" ht="12.75" x14ac:dyDescent="0.2">
      <c r="B3" s="9" t="s">
        <v>83</v>
      </c>
    </row>
    <row r="4" spans="2:2" s="12" customFormat="1" ht="12.75" x14ac:dyDescent="0.2">
      <c r="B4" s="9" t="s">
        <v>293</v>
      </c>
    </row>
    <row r="5" spans="2:2" s="12" customFormat="1" ht="12.75" x14ac:dyDescent="0.2">
      <c r="B5" s="9" t="s">
        <v>294</v>
      </c>
    </row>
    <row r="6" spans="2:2" s="12" customFormat="1" ht="12.75" x14ac:dyDescent="0.2">
      <c r="B6" s="9" t="s">
        <v>295</v>
      </c>
    </row>
    <row r="7" spans="2:2" s="12" customFormat="1" ht="12.75" x14ac:dyDescent="0.2">
      <c r="B7" s="9" t="s">
        <v>95</v>
      </c>
    </row>
    <row r="8" spans="2:2" s="12" customFormat="1" ht="12.75" x14ac:dyDescent="0.2">
      <c r="B8" s="9" t="s">
        <v>76</v>
      </c>
    </row>
    <row r="9" spans="2:2" s="12" customFormat="1" ht="12.75" x14ac:dyDescent="0.2">
      <c r="B9" s="9" t="s">
        <v>296</v>
      </c>
    </row>
    <row r="10" spans="2:2" s="12" customFormat="1" ht="12.75" x14ac:dyDescent="0.2">
      <c r="B10" s="9" t="s">
        <v>297</v>
      </c>
    </row>
    <row r="11" spans="2:2" s="12" customFormat="1" ht="12.75" x14ac:dyDescent="0.2">
      <c r="B11" s="9" t="s">
        <v>298</v>
      </c>
    </row>
    <row r="12" spans="2:2" s="12" customFormat="1" ht="12.75" x14ac:dyDescent="0.2">
      <c r="B12" s="9" t="s">
        <v>299</v>
      </c>
    </row>
    <row r="13" spans="2:2" s="12" customFormat="1" ht="12.75" x14ac:dyDescent="0.2">
      <c r="B13" s="9" t="s">
        <v>300</v>
      </c>
    </row>
    <row r="14" spans="2:2" s="12" customFormat="1" ht="12.75" x14ac:dyDescent="0.2">
      <c r="B14" s="9" t="s">
        <v>59</v>
      </c>
    </row>
    <row r="15" spans="2:2" s="12" customFormat="1" ht="12.75" x14ac:dyDescent="0.2">
      <c r="B15" s="9" t="s">
        <v>301</v>
      </c>
    </row>
    <row r="16" spans="2:2" s="12" customFormat="1" ht="12.75" x14ac:dyDescent="0.2">
      <c r="B16" s="9" t="s">
        <v>105</v>
      </c>
    </row>
    <row r="17" spans="2:2" s="12" customFormat="1" ht="12.75" x14ac:dyDescent="0.2">
      <c r="B17" s="9" t="s">
        <v>302</v>
      </c>
    </row>
    <row r="18" spans="2:2" s="12" customFormat="1" ht="12.75" x14ac:dyDescent="0.2">
      <c r="B18" s="9" t="s">
        <v>303</v>
      </c>
    </row>
    <row r="19" spans="2:2" s="12" customFormat="1" ht="12.75" x14ac:dyDescent="0.2">
      <c r="B19" s="9" t="s">
        <v>304</v>
      </c>
    </row>
    <row r="20" spans="2:2" s="12" customFormat="1" ht="12.75" x14ac:dyDescent="0.2">
      <c r="B20" s="9" t="s">
        <v>305</v>
      </c>
    </row>
    <row r="21" spans="2:2" s="12" customFormat="1" ht="12.75" x14ac:dyDescent="0.2">
      <c r="B21" s="9" t="s">
        <v>306</v>
      </c>
    </row>
    <row r="22" spans="2:2" s="12" customFormat="1" ht="12.75" x14ac:dyDescent="0.2">
      <c r="B22" s="9" t="s">
        <v>291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F36"/>
  <sheetViews>
    <sheetView workbookViewId="0">
      <selection activeCell="E36" sqref="E36"/>
    </sheetView>
  </sheetViews>
  <sheetFormatPr defaultColWidth="9.140625" defaultRowHeight="15" x14ac:dyDescent="0.25"/>
  <cols>
    <col min="1" max="1" width="2.42578125" customWidth="1"/>
    <col min="2" max="2" width="23.5703125" customWidth="1"/>
    <col min="3" max="5" width="32.7109375" customWidth="1"/>
    <col min="6" max="6" width="99.7109375" customWidth="1"/>
  </cols>
  <sheetData>
    <row r="1" spans="2:6" ht="18.75" x14ac:dyDescent="0.3">
      <c r="B1" s="178" t="s">
        <v>160</v>
      </c>
      <c r="C1" s="178"/>
      <c r="D1" s="178"/>
      <c r="E1" s="178"/>
      <c r="F1" s="178"/>
    </row>
    <row r="2" spans="2:6" s="1" customFormat="1" ht="18.75" x14ac:dyDescent="0.3">
      <c r="B2" s="6" t="s">
        <v>161</v>
      </c>
      <c r="C2" s="173" t="s">
        <v>162</v>
      </c>
      <c r="D2" s="174"/>
      <c r="E2" s="174"/>
      <c r="F2" s="6" t="s">
        <v>163</v>
      </c>
    </row>
    <row r="3" spans="2:6" s="12" customFormat="1" ht="12.75" x14ac:dyDescent="0.2">
      <c r="B3" s="83" t="s">
        <v>74</v>
      </c>
      <c r="C3" s="10" t="s">
        <v>164</v>
      </c>
      <c r="D3" s="10" t="s">
        <v>165</v>
      </c>
      <c r="E3" s="10" t="s">
        <v>166</v>
      </c>
      <c r="F3" s="11" t="s">
        <v>167</v>
      </c>
    </row>
    <row r="4" spans="2:6" s="12" customFormat="1" ht="12.75" x14ac:dyDescent="0.2">
      <c r="B4" s="83" t="s">
        <v>168</v>
      </c>
      <c r="C4" s="10" t="s">
        <v>169</v>
      </c>
      <c r="D4" s="10" t="s">
        <v>170</v>
      </c>
      <c r="E4" s="10" t="s">
        <v>171</v>
      </c>
      <c r="F4" s="11" t="s">
        <v>172</v>
      </c>
    </row>
    <row r="5" spans="2:6" s="12" customFormat="1" ht="12.75" x14ac:dyDescent="0.2">
      <c r="B5" s="83" t="s">
        <v>173</v>
      </c>
      <c r="C5" s="10" t="s">
        <v>174</v>
      </c>
      <c r="D5" s="10" t="s">
        <v>175</v>
      </c>
      <c r="E5" s="10" t="s">
        <v>176</v>
      </c>
      <c r="F5" s="11" t="s">
        <v>177</v>
      </c>
    </row>
    <row r="6" spans="2:6" s="12" customFormat="1" ht="12.75" x14ac:dyDescent="0.2">
      <c r="B6" s="83" t="s">
        <v>178</v>
      </c>
      <c r="C6" s="10" t="s">
        <v>179</v>
      </c>
      <c r="D6" s="10" t="s">
        <v>180</v>
      </c>
      <c r="E6" s="10" t="s">
        <v>181</v>
      </c>
      <c r="F6" s="11" t="s">
        <v>182</v>
      </c>
    </row>
    <row r="7" spans="2:6" s="12" customFormat="1" ht="12.75" x14ac:dyDescent="0.2">
      <c r="B7" s="83" t="s">
        <v>183</v>
      </c>
      <c r="C7" s="10" t="s">
        <v>184</v>
      </c>
      <c r="D7" s="10" t="s">
        <v>185</v>
      </c>
      <c r="E7" s="10" t="s">
        <v>186</v>
      </c>
      <c r="F7" s="11" t="s">
        <v>187</v>
      </c>
    </row>
    <row r="8" spans="2:6" s="12" customFormat="1" ht="12.75" x14ac:dyDescent="0.2">
      <c r="B8" s="83" t="s">
        <v>188</v>
      </c>
      <c r="C8" s="10" t="s">
        <v>189</v>
      </c>
      <c r="D8" s="10" t="s">
        <v>190</v>
      </c>
      <c r="E8" s="10" t="s">
        <v>191</v>
      </c>
      <c r="F8" s="11" t="s">
        <v>192</v>
      </c>
    </row>
    <row r="9" spans="2:6" s="12" customFormat="1" ht="12.75" x14ac:dyDescent="0.2">
      <c r="B9" s="83" t="s">
        <v>193</v>
      </c>
      <c r="C9" s="10" t="s">
        <v>194</v>
      </c>
      <c r="D9" s="10" t="s">
        <v>195</v>
      </c>
      <c r="E9" s="10" t="s">
        <v>196</v>
      </c>
      <c r="F9" s="11" t="s">
        <v>197</v>
      </c>
    </row>
    <row r="10" spans="2:6" s="12" customFormat="1" ht="12.75" x14ac:dyDescent="0.2">
      <c r="B10" s="83" t="s">
        <v>198</v>
      </c>
      <c r="C10" s="10" t="s">
        <v>199</v>
      </c>
      <c r="D10" s="10" t="s">
        <v>200</v>
      </c>
      <c r="E10" s="10" t="s">
        <v>201</v>
      </c>
      <c r="F10" s="11" t="s">
        <v>202</v>
      </c>
    </row>
    <row r="11" spans="2:6" s="12" customFormat="1" ht="12.75" x14ac:dyDescent="0.2">
      <c r="B11" s="83" t="s">
        <v>93</v>
      </c>
      <c r="C11" s="10" t="s">
        <v>203</v>
      </c>
      <c r="D11" s="10" t="s">
        <v>204</v>
      </c>
      <c r="E11" s="10" t="s">
        <v>205</v>
      </c>
      <c r="F11" s="11" t="s">
        <v>206</v>
      </c>
    </row>
    <row r="12" spans="2:6" s="12" customFormat="1" ht="12.75" x14ac:dyDescent="0.2">
      <c r="B12" s="83" t="s">
        <v>207</v>
      </c>
      <c r="C12" s="10" t="s">
        <v>208</v>
      </c>
      <c r="D12" s="10" t="s">
        <v>209</v>
      </c>
      <c r="E12" s="10" t="s">
        <v>210</v>
      </c>
      <c r="F12" s="11" t="s">
        <v>211</v>
      </c>
    </row>
    <row r="13" spans="2:6" s="12" customFormat="1" ht="12.75" x14ac:dyDescent="0.2">
      <c r="B13" s="83" t="s">
        <v>212</v>
      </c>
      <c r="C13" s="10" t="s">
        <v>213</v>
      </c>
      <c r="D13" s="10" t="s">
        <v>214</v>
      </c>
      <c r="E13" s="10" t="s">
        <v>215</v>
      </c>
      <c r="F13" s="11" t="s">
        <v>216</v>
      </c>
    </row>
    <row r="14" spans="2:6" s="12" customFormat="1" ht="12.75" x14ac:dyDescent="0.2">
      <c r="B14" s="83" t="s">
        <v>217</v>
      </c>
      <c r="C14" s="10" t="s">
        <v>218</v>
      </c>
      <c r="D14" s="10" t="s">
        <v>219</v>
      </c>
      <c r="E14" s="10" t="s">
        <v>220</v>
      </c>
      <c r="F14" s="11" t="s">
        <v>221</v>
      </c>
    </row>
    <row r="15" spans="2:6" s="12" customFormat="1" ht="15" customHeight="1" x14ac:dyDescent="0.2">
      <c r="B15" s="83" t="s">
        <v>222</v>
      </c>
      <c r="C15" s="10" t="s">
        <v>223</v>
      </c>
      <c r="D15" s="10" t="s">
        <v>224</v>
      </c>
      <c r="E15" s="10" t="s">
        <v>225</v>
      </c>
      <c r="F15" s="11" t="s">
        <v>226</v>
      </c>
    </row>
    <row r="16" spans="2:6" s="12" customFormat="1" ht="12.75" x14ac:dyDescent="0.2">
      <c r="B16" s="83" t="s">
        <v>81</v>
      </c>
      <c r="C16" s="10" t="s">
        <v>227</v>
      </c>
      <c r="D16" s="10" t="s">
        <v>228</v>
      </c>
      <c r="E16" s="10" t="s">
        <v>229</v>
      </c>
      <c r="F16" s="11" t="s">
        <v>230</v>
      </c>
    </row>
    <row r="17" spans="2:6" s="12" customFormat="1" ht="12.75" x14ac:dyDescent="0.2">
      <c r="B17" s="83" t="s">
        <v>56</v>
      </c>
      <c r="C17" s="10" t="s">
        <v>231</v>
      </c>
      <c r="D17" s="10" t="s">
        <v>232</v>
      </c>
      <c r="E17" s="10" t="s">
        <v>233</v>
      </c>
      <c r="F17" s="11" t="s">
        <v>234</v>
      </c>
    </row>
    <row r="18" spans="2:6" s="12" customFormat="1" ht="12.75" x14ac:dyDescent="0.2">
      <c r="B18" s="83" t="s">
        <v>235</v>
      </c>
      <c r="C18" s="10" t="s">
        <v>236</v>
      </c>
      <c r="D18" s="10" t="s">
        <v>237</v>
      </c>
      <c r="E18" s="10" t="s">
        <v>238</v>
      </c>
      <c r="F18" s="11" t="s">
        <v>239</v>
      </c>
    </row>
    <row r="19" spans="2:6" s="12" customFormat="1" ht="12.75" x14ac:dyDescent="0.2">
      <c r="B19" s="83" t="s">
        <v>240</v>
      </c>
      <c r="C19" s="10" t="s">
        <v>241</v>
      </c>
      <c r="D19" s="10" t="s">
        <v>242</v>
      </c>
      <c r="E19" s="10" t="s">
        <v>243</v>
      </c>
      <c r="F19" s="11" t="s">
        <v>244</v>
      </c>
    </row>
    <row r="20" spans="2:6" s="12" customFormat="1" ht="12.75" x14ac:dyDescent="0.2">
      <c r="B20" s="83" t="s">
        <v>245</v>
      </c>
      <c r="C20" s="10" t="s">
        <v>246</v>
      </c>
      <c r="D20" s="10" t="s">
        <v>247</v>
      </c>
      <c r="E20" s="10" t="s">
        <v>248</v>
      </c>
      <c r="F20" s="11" t="s">
        <v>249</v>
      </c>
    </row>
    <row r="21" spans="2:6" s="12" customFormat="1" ht="12.75" x14ac:dyDescent="0.2">
      <c r="B21" s="83" t="s">
        <v>250</v>
      </c>
      <c r="C21" s="10" t="s">
        <v>251</v>
      </c>
      <c r="D21" s="10" t="s">
        <v>252</v>
      </c>
      <c r="E21" s="10" t="s">
        <v>253</v>
      </c>
      <c r="F21" s="11" t="s">
        <v>254</v>
      </c>
    </row>
    <row r="22" spans="2:6" s="12" customFormat="1" ht="25.5" x14ac:dyDescent="0.2">
      <c r="B22" s="83" t="s">
        <v>253</v>
      </c>
      <c r="C22" s="175" t="s">
        <v>255</v>
      </c>
      <c r="D22" s="176"/>
      <c r="E22" s="177"/>
      <c r="F22" s="11" t="s">
        <v>256</v>
      </c>
    </row>
    <row r="23" spans="2:6" s="12" customFormat="1" ht="12.75" x14ac:dyDescent="0.2">
      <c r="B23" s="83" t="s">
        <v>257</v>
      </c>
      <c r="C23" s="10" t="s">
        <v>258</v>
      </c>
      <c r="D23" s="10" t="s">
        <v>259</v>
      </c>
      <c r="E23" s="10" t="s">
        <v>260</v>
      </c>
      <c r="F23" s="11" t="s">
        <v>261</v>
      </c>
    </row>
    <row r="24" spans="2:6" s="12" customFormat="1" ht="12.75" x14ac:dyDescent="0.2">
      <c r="B24" s="83" t="s">
        <v>262</v>
      </c>
      <c r="C24" s="10" t="s">
        <v>263</v>
      </c>
      <c r="D24" s="10" t="s">
        <v>264</v>
      </c>
      <c r="E24" s="10" t="s">
        <v>265</v>
      </c>
      <c r="F24" s="11" t="s">
        <v>266</v>
      </c>
    </row>
    <row r="25" spans="2:6" s="12" customFormat="1" ht="12.75" x14ac:dyDescent="0.2">
      <c r="B25" s="83" t="s">
        <v>267</v>
      </c>
      <c r="C25" s="10" t="s">
        <v>268</v>
      </c>
      <c r="D25" s="10" t="s">
        <v>269</v>
      </c>
      <c r="E25" s="10" t="s">
        <v>270</v>
      </c>
      <c r="F25" s="11" t="s">
        <v>271</v>
      </c>
    </row>
    <row r="26" spans="2:6" s="12" customFormat="1" ht="12.75" x14ac:dyDescent="0.2">
      <c r="B26" s="83" t="s">
        <v>272</v>
      </c>
      <c r="C26" s="10" t="s">
        <v>273</v>
      </c>
      <c r="D26" s="10" t="s">
        <v>274</v>
      </c>
      <c r="E26" s="10" t="s">
        <v>270</v>
      </c>
      <c r="F26" s="11" t="s">
        <v>275</v>
      </c>
    </row>
    <row r="27" spans="2:6" s="12" customFormat="1" ht="12.75" x14ac:dyDescent="0.2">
      <c r="B27" s="83" t="s">
        <v>276</v>
      </c>
      <c r="C27" s="10" t="s">
        <v>277</v>
      </c>
      <c r="D27" s="10" t="s">
        <v>278</v>
      </c>
      <c r="E27" s="10" t="s">
        <v>279</v>
      </c>
      <c r="F27" s="11" t="s">
        <v>280</v>
      </c>
    </row>
    <row r="28" spans="2:6" s="12" customFormat="1" ht="12.75" x14ac:dyDescent="0.2">
      <c r="B28" s="83" t="s">
        <v>281</v>
      </c>
      <c r="C28" s="10" t="s">
        <v>282</v>
      </c>
      <c r="D28" s="10" t="s">
        <v>283</v>
      </c>
      <c r="E28" s="10" t="s">
        <v>284</v>
      </c>
      <c r="F28" s="11" t="s">
        <v>285</v>
      </c>
    </row>
    <row r="29" spans="2:6" s="12" customFormat="1" ht="12.75" x14ac:dyDescent="0.2">
      <c r="B29" s="83" t="s">
        <v>286</v>
      </c>
      <c r="C29" s="10" t="s">
        <v>287</v>
      </c>
      <c r="D29" s="10" t="s">
        <v>288</v>
      </c>
      <c r="E29" s="10" t="s">
        <v>289</v>
      </c>
      <c r="F29" s="11" t="s">
        <v>290</v>
      </c>
    </row>
    <row r="30" spans="2:6" s="12" customFormat="1" ht="12.75" x14ac:dyDescent="0.2">
      <c r="B30" s="83" t="s">
        <v>291</v>
      </c>
      <c r="C30" s="175" t="s">
        <v>158</v>
      </c>
      <c r="D30" s="176"/>
      <c r="E30" s="177"/>
      <c r="F30" s="11"/>
    </row>
    <row r="32" spans="2:6" x14ac:dyDescent="0.25">
      <c r="C32" s="80"/>
    </row>
    <row r="33" spans="3:3" x14ac:dyDescent="0.25">
      <c r="C33" s="80"/>
    </row>
    <row r="34" spans="3:3" x14ac:dyDescent="0.25">
      <c r="C34" s="82"/>
    </row>
    <row r="35" spans="3:3" x14ac:dyDescent="0.25">
      <c r="C35" s="82"/>
    </row>
    <row r="36" spans="3:3" x14ac:dyDescent="0.25">
      <c r="C36" s="81"/>
    </row>
  </sheetData>
  <mergeCells count="4">
    <mergeCell ref="C2:E2"/>
    <mergeCell ref="C30:E30"/>
    <mergeCell ref="C22:E22"/>
    <mergeCell ref="B1:F1"/>
  </mergeCells>
  <pageMargins left="0.7" right="0.7" top="0.75" bottom="0.75" header="0.3" footer="0.3"/>
  <pageSetup paperSize="9" scale="5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F47"/>
  <sheetViews>
    <sheetView workbookViewId="0">
      <selection activeCell="J46" sqref="J46:M51"/>
    </sheetView>
  </sheetViews>
  <sheetFormatPr defaultRowHeight="15" x14ac:dyDescent="0.25"/>
  <cols>
    <col min="1" max="1" width="3.28515625" customWidth="1"/>
    <col min="2" max="2" width="42.140625" customWidth="1"/>
    <col min="5" max="5" width="18.28515625" customWidth="1"/>
    <col min="6" max="6" width="22.85546875" customWidth="1"/>
  </cols>
  <sheetData>
    <row r="1" spans="2:6" ht="15.75" thickBot="1" x14ac:dyDescent="0.3"/>
    <row r="2" spans="2:6" s="3" customFormat="1" ht="19.5" thickBot="1" x14ac:dyDescent="0.35">
      <c r="B2" s="77" t="s">
        <v>307</v>
      </c>
      <c r="C2" s="78" t="s">
        <v>308</v>
      </c>
      <c r="D2" s="12"/>
      <c r="E2" s="78" t="s">
        <v>309</v>
      </c>
      <c r="F2" s="78" t="s">
        <v>27</v>
      </c>
    </row>
    <row r="3" spans="2:6" ht="15.75" thickBot="1" x14ac:dyDescent="0.3">
      <c r="B3" s="15" t="s">
        <v>310</v>
      </c>
      <c r="C3" s="16">
        <v>4</v>
      </c>
      <c r="D3" s="12"/>
      <c r="E3" s="16">
        <v>0</v>
      </c>
      <c r="F3" s="17" t="s">
        <v>311</v>
      </c>
    </row>
    <row r="4" spans="2:6" ht="15.75" thickBot="1" x14ac:dyDescent="0.3">
      <c r="B4" s="15" t="s">
        <v>67</v>
      </c>
      <c r="C4" s="16">
        <v>3</v>
      </c>
      <c r="D4" s="12"/>
      <c r="E4" s="16">
        <v>1</v>
      </c>
      <c r="F4" s="18" t="s">
        <v>146</v>
      </c>
    </row>
    <row r="5" spans="2:6" ht="15.75" thickBot="1" x14ac:dyDescent="0.3">
      <c r="B5" s="15" t="s">
        <v>80</v>
      </c>
      <c r="C5" s="16">
        <v>2</v>
      </c>
      <c r="D5" s="12"/>
      <c r="E5" s="16">
        <v>2</v>
      </c>
      <c r="F5" s="18" t="s">
        <v>146</v>
      </c>
    </row>
    <row r="6" spans="2:6" ht="15.75" thickBot="1" x14ac:dyDescent="0.3">
      <c r="B6" s="15" t="s">
        <v>99</v>
      </c>
      <c r="C6" s="16">
        <v>1</v>
      </c>
      <c r="D6" s="12"/>
      <c r="E6" s="16">
        <v>3</v>
      </c>
      <c r="F6" s="16" t="s">
        <v>144</v>
      </c>
    </row>
    <row r="7" spans="2:6" ht="15.75" thickBot="1" x14ac:dyDescent="0.3">
      <c r="B7" s="15" t="s">
        <v>312</v>
      </c>
      <c r="C7" s="16">
        <v>0</v>
      </c>
      <c r="D7" s="12"/>
      <c r="E7" s="16">
        <v>4</v>
      </c>
      <c r="F7" s="16" t="s">
        <v>144</v>
      </c>
    </row>
    <row r="8" spans="2:6" ht="15.75" thickBot="1" x14ac:dyDescent="0.3">
      <c r="B8" s="12"/>
      <c r="C8" s="12"/>
      <c r="D8" s="12"/>
      <c r="E8" s="16">
        <v>5</v>
      </c>
      <c r="F8" s="16" t="s">
        <v>144</v>
      </c>
    </row>
    <row r="9" spans="2:6" ht="15.75" thickBot="1" x14ac:dyDescent="0.3">
      <c r="B9" s="77" t="s">
        <v>313</v>
      </c>
      <c r="C9" s="78" t="s">
        <v>308</v>
      </c>
      <c r="D9" s="12"/>
      <c r="E9" s="16">
        <v>6</v>
      </c>
      <c r="F9" s="19" t="s">
        <v>142</v>
      </c>
    </row>
    <row r="10" spans="2:6" ht="15.75" thickBot="1" x14ac:dyDescent="0.3">
      <c r="B10" s="15" t="s">
        <v>314</v>
      </c>
      <c r="C10" s="16">
        <v>4</v>
      </c>
      <c r="D10" s="12"/>
      <c r="E10" s="16">
        <v>7</v>
      </c>
      <c r="F10" s="19" t="s">
        <v>142</v>
      </c>
    </row>
    <row r="11" spans="2:6" ht="15.75" thickBot="1" x14ac:dyDescent="0.3">
      <c r="B11" s="15" t="s">
        <v>68</v>
      </c>
      <c r="C11" s="16">
        <v>3</v>
      </c>
      <c r="D11" s="12"/>
      <c r="E11" s="16">
        <v>8</v>
      </c>
      <c r="F11" s="19" t="s">
        <v>142</v>
      </c>
    </row>
    <row r="12" spans="2:6" ht="15.75" thickBot="1" x14ac:dyDescent="0.3">
      <c r="B12" s="15" t="s">
        <v>73</v>
      </c>
      <c r="C12" s="16">
        <v>2</v>
      </c>
      <c r="D12" s="12"/>
      <c r="E12" s="16">
        <v>9</v>
      </c>
      <c r="F12" s="19" t="s">
        <v>142</v>
      </c>
    </row>
    <row r="13" spans="2:6" ht="15.75" thickBot="1" x14ac:dyDescent="0.3">
      <c r="B13" s="15" t="s">
        <v>89</v>
      </c>
      <c r="C13" s="16">
        <v>1</v>
      </c>
      <c r="D13" s="12"/>
      <c r="E13" s="16">
        <v>10</v>
      </c>
      <c r="F13" s="19" t="s">
        <v>142</v>
      </c>
    </row>
    <row r="14" spans="2:6" ht="15.75" thickBot="1" x14ac:dyDescent="0.3">
      <c r="B14" s="15" t="s">
        <v>315</v>
      </c>
      <c r="C14" s="16">
        <v>0</v>
      </c>
      <c r="D14" s="12"/>
      <c r="E14" s="16">
        <v>11</v>
      </c>
      <c r="F14" s="19" t="s">
        <v>142</v>
      </c>
    </row>
    <row r="15" spans="2:6" ht="15.75" thickBot="1" x14ac:dyDescent="0.3">
      <c r="B15" s="12"/>
      <c r="C15" s="12"/>
      <c r="D15" s="12"/>
      <c r="E15" s="16">
        <v>12</v>
      </c>
      <c r="F15" s="20" t="s">
        <v>140</v>
      </c>
    </row>
    <row r="16" spans="2:6" ht="15.75" thickBot="1" x14ac:dyDescent="0.3">
      <c r="B16" s="77" t="s">
        <v>316</v>
      </c>
      <c r="C16" s="12"/>
      <c r="D16" s="12"/>
      <c r="E16" s="16">
        <v>13</v>
      </c>
      <c r="F16" s="20" t="s">
        <v>140</v>
      </c>
    </row>
    <row r="17" spans="2:6" ht="15.75" thickBot="1" x14ac:dyDescent="0.3">
      <c r="B17" s="15"/>
      <c r="C17" s="12"/>
      <c r="D17" s="12"/>
      <c r="E17" s="16">
        <v>14</v>
      </c>
      <c r="F17" s="20" t="s">
        <v>140</v>
      </c>
    </row>
    <row r="18" spans="2:6" ht="15.75" thickBot="1" x14ac:dyDescent="0.3">
      <c r="B18" s="15" t="s">
        <v>58</v>
      </c>
      <c r="C18" s="12"/>
      <c r="D18" s="12"/>
      <c r="E18" s="16">
        <v>15</v>
      </c>
      <c r="F18" s="20" t="s">
        <v>140</v>
      </c>
    </row>
    <row r="19" spans="2:6" ht="15.75" thickBot="1" x14ac:dyDescent="0.3">
      <c r="B19" s="12"/>
      <c r="C19" s="12"/>
      <c r="D19" s="12"/>
      <c r="E19" s="16">
        <v>16</v>
      </c>
      <c r="F19" s="20" t="s">
        <v>140</v>
      </c>
    </row>
    <row r="20" spans="2:6" ht="15.75" thickBot="1" x14ac:dyDescent="0.3">
      <c r="B20" s="77" t="s">
        <v>317</v>
      </c>
      <c r="C20" s="12"/>
      <c r="D20" s="12"/>
      <c r="E20" s="12"/>
      <c r="F20" s="12"/>
    </row>
    <row r="21" spans="2:6" ht="15.75" thickBot="1" x14ac:dyDescent="0.3">
      <c r="B21" s="15"/>
      <c r="C21" s="12"/>
      <c r="D21" s="12"/>
      <c r="E21" s="12"/>
      <c r="F21" s="12"/>
    </row>
    <row r="22" spans="2:6" ht="15.75" thickBot="1" x14ac:dyDescent="0.3">
      <c r="B22" s="15" t="s">
        <v>66</v>
      </c>
      <c r="C22" s="12"/>
      <c r="D22" s="12"/>
      <c r="E22" s="12"/>
      <c r="F22" s="12"/>
    </row>
    <row r="23" spans="2:6" ht="15.75" thickBot="1" x14ac:dyDescent="0.3"/>
    <row r="24" spans="2:6" ht="15.75" thickBot="1" x14ac:dyDescent="0.3">
      <c r="B24" s="77" t="s">
        <v>318</v>
      </c>
    </row>
    <row r="25" spans="2:6" ht="15.75" thickBot="1" x14ac:dyDescent="0.3">
      <c r="B25" s="15">
        <v>0</v>
      </c>
    </row>
    <row r="26" spans="2:6" ht="15.75" thickBot="1" x14ac:dyDescent="0.3">
      <c r="B26" s="15">
        <v>1</v>
      </c>
    </row>
    <row r="27" spans="2:6" ht="15.75" thickBot="1" x14ac:dyDescent="0.3">
      <c r="B27" s="15">
        <v>2</v>
      </c>
    </row>
    <row r="28" spans="2:6" ht="15.75" thickBot="1" x14ac:dyDescent="0.3">
      <c r="B28" s="15">
        <v>3</v>
      </c>
    </row>
    <row r="29" spans="2:6" ht="15.75" thickBot="1" x14ac:dyDescent="0.3">
      <c r="B29" s="15">
        <v>4</v>
      </c>
    </row>
    <row r="30" spans="2:6" ht="15.75" thickBot="1" x14ac:dyDescent="0.3"/>
    <row r="31" spans="2:6" ht="15.75" thickBot="1" x14ac:dyDescent="0.3">
      <c r="B31" s="77" t="s">
        <v>157</v>
      </c>
    </row>
    <row r="32" spans="2:6" ht="15.75" thickBot="1" x14ac:dyDescent="0.3">
      <c r="B32" s="15">
        <v>1</v>
      </c>
    </row>
    <row r="33" spans="2:2" ht="15.75" thickBot="1" x14ac:dyDescent="0.3">
      <c r="B33" s="15">
        <v>2</v>
      </c>
    </row>
    <row r="34" spans="2:2" ht="15.75" thickBot="1" x14ac:dyDescent="0.3">
      <c r="B34" s="15">
        <v>3</v>
      </c>
    </row>
    <row r="35" spans="2:2" ht="15.75" thickBot="1" x14ac:dyDescent="0.3">
      <c r="B35" s="15">
        <v>4</v>
      </c>
    </row>
    <row r="36" spans="2:2" ht="15.75" thickBot="1" x14ac:dyDescent="0.3">
      <c r="B36" s="15">
        <v>5</v>
      </c>
    </row>
    <row r="37" spans="2:2" ht="15.75" thickBot="1" x14ac:dyDescent="0.3"/>
    <row r="38" spans="2:2" ht="15.75" thickBot="1" x14ac:dyDescent="0.3">
      <c r="B38" s="77" t="s">
        <v>319</v>
      </c>
    </row>
    <row r="39" spans="2:2" ht="15.75" thickBot="1" x14ac:dyDescent="0.3">
      <c r="B39" s="15"/>
    </row>
    <row r="40" spans="2:2" ht="15.75" thickBot="1" x14ac:dyDescent="0.3">
      <c r="B40" s="79" t="s">
        <v>158</v>
      </c>
    </row>
    <row r="41" spans="2:2" ht="15.75" thickBot="1" x14ac:dyDescent="0.3"/>
    <row r="42" spans="2:2" ht="15.75" thickBot="1" x14ac:dyDescent="0.3">
      <c r="B42" s="77" t="s">
        <v>320</v>
      </c>
    </row>
    <row r="43" spans="2:2" ht="15.75" thickBot="1" x14ac:dyDescent="0.3">
      <c r="B43" s="15" t="s">
        <v>321</v>
      </c>
    </row>
    <row r="44" spans="2:2" ht="15.75" thickBot="1" x14ac:dyDescent="0.3">
      <c r="B44" s="15" t="s">
        <v>322</v>
      </c>
    </row>
    <row r="45" spans="2:2" ht="15.75" thickBot="1" x14ac:dyDescent="0.3">
      <c r="B45" s="15" t="s">
        <v>323</v>
      </c>
    </row>
    <row r="46" spans="2:2" ht="15.75" thickBot="1" x14ac:dyDescent="0.3">
      <c r="B46" s="15" t="s">
        <v>159</v>
      </c>
    </row>
    <row r="47" spans="2:2" ht="15.75" thickBot="1" x14ac:dyDescent="0.3">
      <c r="B47" s="15" t="s">
        <v>324</v>
      </c>
    </row>
  </sheetData>
  <pageMargins left="0.7" right="0.7" top="0.75" bottom="0.75" header="0.3" footer="0.3"/>
  <pageSetup paperSize="9" scale="8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0051C07D22F46964777ECF0CEF36D" ma:contentTypeVersion="13" ma:contentTypeDescription="Create a new document." ma:contentTypeScope="" ma:versionID="d90e89a1147b0dc11b2c38065913e7ee">
  <xsd:schema xmlns:xsd="http://www.w3.org/2001/XMLSchema" xmlns:xs="http://www.w3.org/2001/XMLSchema" xmlns:p="http://schemas.microsoft.com/office/2006/metadata/properties" xmlns:ns2="40486c4c-a8a7-4a91-94d7-c8b18aff1f95" xmlns:ns3="08fec900-1c3f-4dfe-813b-230148ca1843" targetNamespace="http://schemas.microsoft.com/office/2006/metadata/properties" ma:root="true" ma:fieldsID="c51d724d8f182f17051465b40965e6b1" ns2:_="" ns3:_="">
    <xsd:import namespace="40486c4c-a8a7-4a91-94d7-c8b18aff1f95"/>
    <xsd:import namespace="08fec900-1c3f-4dfe-813b-230148ca1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486c4c-a8a7-4a91-94d7-c8b18aff1f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824e211-857a-4abd-8919-6d88704c83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ec900-1c3f-4dfe-813b-230148ca184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8ebf0a2-db94-4684-b390-6b9c06026fa2}" ma:internalName="TaxCatchAll" ma:showField="CatchAllData" ma:web="08fec900-1c3f-4dfe-813b-230148ca1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91B167-E169-4C13-97C2-BC8F24D185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D21502-B4D0-4204-A46F-4B2A5F87F4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486c4c-a8a7-4a91-94d7-c8b18aff1f95"/>
    <ds:schemaRef ds:uri="08fec900-1c3f-4dfe-813b-230148ca18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ORA Worksheet</vt:lpstr>
      <vt:lpstr>ORA_Example</vt:lpstr>
      <vt:lpstr>ORA Matrix</vt:lpstr>
      <vt:lpstr>ORA Risk Map Template</vt:lpstr>
      <vt:lpstr>I&amp;I Cats-r</vt:lpstr>
      <vt:lpstr>Hazard Cats.-r</vt:lpstr>
      <vt:lpstr>Drop Down Lists</vt:lpstr>
    </vt:vector>
  </TitlesOfParts>
  <Manager/>
  <Company>Nestle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Oakes,Howard,VEVEY,CO-SH&amp;E</dc:creator>
  <cp:keywords/>
  <dc:description/>
  <cp:lastModifiedBy>Muhammad Shammas</cp:lastModifiedBy>
  <cp:revision/>
  <dcterms:created xsi:type="dcterms:W3CDTF">2015-12-06T13:38:11Z</dcterms:created>
  <dcterms:modified xsi:type="dcterms:W3CDTF">2026-02-27T09:28:57Z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c29f99-c57c-4f4f-8c7d-6249a0890b04_Enabled">
    <vt:lpwstr>true</vt:lpwstr>
  </property>
  <property fmtid="{D5CDD505-2E9C-101B-9397-08002B2CF9AE}" pid="3" name="MSIP_Label_94c29f99-c57c-4f4f-8c7d-6249a0890b04_SetDate">
    <vt:lpwstr>2022-10-04T11:06:49Z</vt:lpwstr>
  </property>
  <property fmtid="{D5CDD505-2E9C-101B-9397-08002B2CF9AE}" pid="4" name="MSIP_Label_94c29f99-c57c-4f4f-8c7d-6249a0890b04_Method">
    <vt:lpwstr>Standard</vt:lpwstr>
  </property>
  <property fmtid="{D5CDD505-2E9C-101B-9397-08002B2CF9AE}" pid="5" name="MSIP_Label_94c29f99-c57c-4f4f-8c7d-6249a0890b04_Name">
    <vt:lpwstr>General</vt:lpwstr>
  </property>
  <property fmtid="{D5CDD505-2E9C-101B-9397-08002B2CF9AE}" pid="6" name="MSIP_Label_94c29f99-c57c-4f4f-8c7d-6249a0890b04_SiteId">
    <vt:lpwstr>4c8e3abd-a4a8-436b-a344-7c2116883d92</vt:lpwstr>
  </property>
  <property fmtid="{D5CDD505-2E9C-101B-9397-08002B2CF9AE}" pid="7" name="MSIP_Label_94c29f99-c57c-4f4f-8c7d-6249a0890b04_ActionId">
    <vt:lpwstr>e233957c-e607-4ed7-a39c-389daa66c587</vt:lpwstr>
  </property>
  <property fmtid="{D5CDD505-2E9C-101B-9397-08002B2CF9AE}" pid="8" name="MSIP_Label_94c29f99-c57c-4f4f-8c7d-6249a0890b04_ContentBits">
    <vt:lpwstr>0</vt:lpwstr>
  </property>
</Properties>
</file>